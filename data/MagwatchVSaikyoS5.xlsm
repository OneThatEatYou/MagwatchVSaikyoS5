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gk\Documents\DataAnalysis\MagwatchVSaikyoS5\data\"/>
    </mc:Choice>
  </mc:AlternateContent>
  <xr:revisionPtr revIDLastSave="0" documentId="13_ncr:1_{2C5A2C93-7779-4754-BEB1-B78BB04B6E20}" xr6:coauthVersionLast="45" xr6:coauthVersionMax="45" xr10:uidLastSave="{00000000-0000-0000-0000-000000000000}"/>
  <bookViews>
    <workbookView xWindow="-108" yWindow="-108" windowWidth="23256" windowHeight="12576" tabRatio="711" activeTab="1" xr2:uid="{00000000-000D-0000-FFFF-FFFF00000000}"/>
  </bookViews>
  <sheets>
    <sheet name="Game Start Times" sheetId="2" r:id="rId1"/>
    <sheet name="Team Sheet" sheetId="9" r:id="rId2"/>
    <sheet name="Scrims Day 1" sheetId="1" r:id="rId3"/>
    <sheet name="Scrims Day 2" sheetId="4" r:id="rId4"/>
    <sheet name="Scrims Day 3" sheetId="5" r:id="rId5"/>
    <sheet name="Scrims Day 4" sheetId="6" r:id="rId6"/>
    <sheet name="Scrims Day 5" sheetId="7" r:id="rId7"/>
    <sheet name="Scrims Day 6" sheetId="8" r:id="rId8"/>
    <sheet name="Timestamp Extractor" sheetId="3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8" i="8" l="1"/>
  <c r="F59" i="8"/>
  <c r="F60" i="8"/>
  <c r="F61" i="8"/>
  <c r="F62" i="8"/>
  <c r="F63" i="8"/>
  <c r="F64" i="8"/>
  <c r="F65" i="8"/>
  <c r="F66" i="8"/>
  <c r="F57" i="8"/>
  <c r="F47" i="8"/>
  <c r="F48" i="8"/>
  <c r="F49" i="8"/>
  <c r="F50" i="8"/>
  <c r="F51" i="8"/>
  <c r="F52" i="8"/>
  <c r="F53" i="8"/>
  <c r="F54" i="8"/>
  <c r="F55" i="8"/>
  <c r="F56" i="8"/>
  <c r="F46" i="8"/>
  <c r="F43" i="8"/>
  <c r="F44" i="8"/>
  <c r="F45" i="8"/>
  <c r="F42" i="8"/>
  <c r="F34" i="8"/>
  <c r="F35" i="8"/>
  <c r="F36" i="8"/>
  <c r="F37" i="8"/>
  <c r="F38" i="8"/>
  <c r="F39" i="8"/>
  <c r="F40" i="8"/>
  <c r="F41" i="8"/>
  <c r="F33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14" i="8"/>
  <c r="F3" i="8"/>
  <c r="F4" i="8"/>
  <c r="F5" i="8"/>
  <c r="F6" i="8"/>
  <c r="F7" i="8"/>
  <c r="F8" i="8"/>
  <c r="F9" i="8"/>
  <c r="F10" i="8"/>
  <c r="F11" i="8"/>
  <c r="F12" i="8"/>
  <c r="F13" i="8"/>
  <c r="F2" i="8"/>
  <c r="F46" i="7"/>
  <c r="F47" i="7"/>
  <c r="F48" i="7"/>
  <c r="F49" i="7"/>
  <c r="F50" i="7"/>
  <c r="F51" i="7"/>
  <c r="F52" i="7"/>
  <c r="F53" i="7"/>
  <c r="F54" i="7"/>
  <c r="F55" i="7"/>
  <c r="F56" i="7"/>
  <c r="F57" i="7"/>
  <c r="F45" i="7"/>
  <c r="F33" i="7"/>
  <c r="F34" i="7"/>
  <c r="F35" i="7"/>
  <c r="F36" i="7"/>
  <c r="F37" i="7"/>
  <c r="F38" i="7"/>
  <c r="F39" i="7"/>
  <c r="F40" i="7"/>
  <c r="F41" i="7"/>
  <c r="F42" i="7"/>
  <c r="F43" i="7"/>
  <c r="F44" i="7"/>
  <c r="F32" i="7"/>
  <c r="F30" i="7"/>
  <c r="F31" i="7"/>
  <c r="F29" i="7"/>
  <c r="F20" i="7"/>
  <c r="F21" i="7"/>
  <c r="F22" i="7"/>
  <c r="F23" i="7"/>
  <c r="F24" i="7"/>
  <c r="F25" i="7"/>
  <c r="F26" i="7"/>
  <c r="F27" i="7"/>
  <c r="F28" i="7"/>
  <c r="F19" i="7"/>
  <c r="F14" i="7"/>
  <c r="F15" i="7"/>
  <c r="F16" i="7"/>
  <c r="F17" i="7"/>
  <c r="F18" i="7"/>
  <c r="F13" i="7"/>
  <c r="F9" i="7"/>
  <c r="F10" i="7"/>
  <c r="F11" i="7"/>
  <c r="F12" i="7"/>
  <c r="F8" i="7"/>
  <c r="F3" i="7"/>
  <c r="F4" i="7"/>
  <c r="F5" i="7"/>
  <c r="F6" i="7"/>
  <c r="F7" i="7"/>
  <c r="F2" i="7"/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2" i="6"/>
  <c r="B31" i="3" a="1"/>
  <c r="B35" i="3" a="1"/>
  <c r="B39" i="3" a="1"/>
  <c r="B43" i="3" a="1"/>
  <c r="B47" i="3" a="1"/>
  <c r="B51" i="3" a="1"/>
  <c r="B55" i="3" a="1"/>
  <c r="B59" i="3" a="1"/>
  <c r="B63" i="3" a="1"/>
  <c r="B65" i="3" a="1"/>
  <c r="B36" i="3" a="1"/>
  <c r="B48" i="3" a="1"/>
  <c r="B56" i="3" a="1"/>
  <c r="B64" i="3" a="1"/>
  <c r="B58" i="3" a="1"/>
  <c r="B32" i="3" a="1"/>
  <c r="B40" i="3" a="1"/>
  <c r="B44" i="3" a="1"/>
  <c r="B52" i="3" a="1"/>
  <c r="B60" i="3" a="1"/>
  <c r="B57" i="3" a="1"/>
  <c r="B37" i="3" a="1"/>
  <c r="B41" i="3" a="1"/>
  <c r="B45" i="3" a="1"/>
  <c r="B53" i="3" a="1"/>
  <c r="B61" i="3" a="1"/>
  <c r="B33" i="3" a="1"/>
  <c r="B49" i="3" a="1"/>
  <c r="B38" i="3" a="1"/>
  <c r="B50" i="3" a="1"/>
  <c r="B62" i="3" a="1"/>
  <c r="B34" i="3" a="1"/>
  <c r="B42" i="3" a="1"/>
  <c r="B46" i="3" a="1"/>
  <c r="B54" i="3" a="1"/>
  <c r="C56" i="3" a="1"/>
  <c r="C65" i="3" a="1"/>
  <c r="C31" i="3" a="1"/>
  <c r="C45" i="3" a="1"/>
  <c r="C40" i="3" a="1"/>
  <c r="C43" i="3" a="1"/>
  <c r="C59" i="3" a="1"/>
  <c r="C35" i="3" a="1"/>
  <c r="C51" i="3" a="1"/>
  <c r="C34" i="3" a="1"/>
  <c r="C41" i="3" a="1"/>
  <c r="C54" i="3" a="1"/>
  <c r="C55" i="3" a="1"/>
  <c r="C33" i="3" a="1"/>
  <c r="C46" i="3" a="1"/>
  <c r="C32" i="3" a="1"/>
  <c r="C58" i="3" a="1"/>
  <c r="C50" i="3" a="1"/>
  <c r="C63" i="3" a="1"/>
  <c r="C38" i="3" a="1"/>
  <c r="C48" i="3" a="1"/>
  <c r="C61" i="3" a="1"/>
  <c r="C39" i="3" a="1"/>
  <c r="C57" i="3" a="1"/>
  <c r="C49" i="3" a="1"/>
  <c r="C37" i="3" a="1"/>
  <c r="C42" i="3" a="1"/>
  <c r="C64" i="3" a="1"/>
  <c r="C36" i="3" a="1"/>
  <c r="C60" i="3" a="1"/>
  <c r="C62" i="3" a="1"/>
  <c r="C47" i="3" a="1"/>
  <c r="C52" i="3" a="1"/>
  <c r="C44" i="3" a="1"/>
  <c r="C53" i="3" a="1"/>
  <c r="C58" i="3" l="1"/>
  <c r="C59" i="3"/>
  <c r="C47" i="3"/>
  <c r="C46" i="3"/>
  <c r="C42" i="3"/>
  <c r="C38" i="3"/>
  <c r="C34" i="3"/>
  <c r="C57" i="3"/>
  <c r="C45" i="3"/>
  <c r="C33" i="3"/>
  <c r="C65" i="3"/>
  <c r="C53" i="3"/>
  <c r="C49" i="3"/>
  <c r="C41" i="3"/>
  <c r="C37" i="3"/>
  <c r="C54" i="3"/>
  <c r="C61" i="3"/>
  <c r="C60" i="3"/>
  <c r="C52" i="3"/>
  <c r="C48" i="3"/>
  <c r="C40" i="3"/>
  <c r="C32" i="3"/>
  <c r="C50" i="3"/>
  <c r="C64" i="3"/>
  <c r="C56" i="3"/>
  <c r="C44" i="3"/>
  <c r="C36" i="3"/>
  <c r="C62" i="3"/>
  <c r="C63" i="3"/>
  <c r="C55" i="3"/>
  <c r="C51" i="3"/>
  <c r="C43" i="3"/>
  <c r="C39" i="3"/>
  <c r="C35" i="3"/>
  <c r="C31" i="3"/>
  <c r="B54" i="3"/>
  <c r="B46" i="3"/>
  <c r="B42" i="3"/>
  <c r="B34" i="3"/>
  <c r="B62" i="3"/>
  <c r="B50" i="3"/>
  <c r="B38" i="3"/>
  <c r="B49" i="3"/>
  <c r="B33" i="3"/>
  <c r="B61" i="3"/>
  <c r="B53" i="3"/>
  <c r="B45" i="3"/>
  <c r="B41" i="3"/>
  <c r="B37" i="3"/>
  <c r="B57" i="3"/>
  <c r="B60" i="3"/>
  <c r="B52" i="3"/>
  <c r="B44" i="3"/>
  <c r="B40" i="3"/>
  <c r="B32" i="3"/>
  <c r="B58" i="3"/>
  <c r="B64" i="3"/>
  <c r="B56" i="3"/>
  <c r="B48" i="3"/>
  <c r="B36" i="3"/>
  <c r="B65" i="3"/>
  <c r="B63" i="3"/>
  <c r="B59" i="3"/>
  <c r="B55" i="3"/>
  <c r="B51" i="3"/>
  <c r="B47" i="3"/>
  <c r="B43" i="3"/>
  <c r="B39" i="3"/>
  <c r="B35" i="3"/>
  <c r="B31" i="3"/>
  <c r="F49" i="1"/>
  <c r="F48" i="1"/>
  <c r="F22" i="5" l="1"/>
  <c r="F23" i="5"/>
  <c r="F24" i="5"/>
  <c r="F25" i="5"/>
  <c r="F26" i="5"/>
  <c r="F27" i="5"/>
  <c r="F28" i="5"/>
  <c r="F29" i="5"/>
  <c r="F30" i="5"/>
  <c r="F31" i="5"/>
  <c r="F21" i="5"/>
  <c r="F17" i="5"/>
  <c r="F18" i="5"/>
  <c r="F19" i="5"/>
  <c r="F20" i="5"/>
  <c r="F16" i="5"/>
  <c r="F11" i="5"/>
  <c r="F12" i="5"/>
  <c r="F13" i="5"/>
  <c r="F14" i="5"/>
  <c r="F15" i="5"/>
  <c r="F10" i="5"/>
  <c r="F9" i="5"/>
  <c r="F8" i="5"/>
  <c r="F6" i="5"/>
  <c r="F7" i="5"/>
  <c r="F5" i="5"/>
  <c r="F3" i="5"/>
  <c r="F4" i="5"/>
  <c r="F2" i="5"/>
  <c r="F38" i="4"/>
  <c r="F37" i="4"/>
  <c r="F32" i="4"/>
  <c r="F33" i="4"/>
  <c r="F34" i="4"/>
  <c r="F35" i="4"/>
  <c r="F36" i="4"/>
  <c r="F31" i="4"/>
  <c r="F22" i="4"/>
  <c r="F23" i="4"/>
  <c r="F24" i="4"/>
  <c r="F25" i="4"/>
  <c r="F26" i="4"/>
  <c r="F27" i="4"/>
  <c r="F28" i="4"/>
  <c r="F29" i="4"/>
  <c r="F30" i="4"/>
  <c r="F21" i="4"/>
  <c r="F12" i="4"/>
  <c r="F13" i="4"/>
  <c r="F14" i="4"/>
  <c r="F15" i="4"/>
  <c r="F16" i="4"/>
  <c r="F17" i="4"/>
  <c r="F18" i="4"/>
  <c r="F19" i="4"/>
  <c r="F20" i="4"/>
  <c r="F11" i="4"/>
  <c r="F10" i="4"/>
  <c r="F9" i="4"/>
  <c r="F3" i="4"/>
  <c r="F4" i="4"/>
  <c r="F5" i="4"/>
  <c r="F6" i="4"/>
  <c r="F7" i="4"/>
  <c r="F8" i="4"/>
  <c r="F2" i="4"/>
  <c r="B26" i="3" a="1"/>
  <c r="B16" i="3" a="1"/>
  <c r="B25" i="3" a="1"/>
  <c r="B12" i="3" a="1"/>
  <c r="B23" i="3" a="1"/>
  <c r="B3" i="3" a="1"/>
  <c r="B15" i="3" a="1"/>
  <c r="B30" i="3" a="1"/>
  <c r="B22" i="3" a="1"/>
  <c r="B7" i="3" a="1"/>
  <c r="B9" i="3" a="1"/>
  <c r="B11" i="3" a="1"/>
  <c r="B29" i="3" a="1"/>
  <c r="B4" i="3" a="1"/>
  <c r="B17" i="3" a="1"/>
  <c r="B27" i="3" a="1"/>
  <c r="B21" i="3" a="1"/>
  <c r="B19" i="3" a="1"/>
  <c r="B6" i="3" a="1"/>
  <c r="B14" i="3" a="1"/>
  <c r="B13" i="3" a="1"/>
  <c r="B1" i="3" a="1"/>
  <c r="B24" i="3" a="1"/>
  <c r="B28" i="3" a="1"/>
  <c r="B18" i="3" a="1"/>
  <c r="B8" i="3" a="1"/>
  <c r="B2" i="3" a="1"/>
  <c r="B10" i="3" a="1"/>
  <c r="B20" i="3" a="1"/>
  <c r="B5" i="3" a="1"/>
  <c r="B24" i="3" l="1"/>
  <c r="B17" i="3"/>
  <c r="B13" i="3"/>
  <c r="B9" i="3"/>
  <c r="B5" i="3"/>
  <c r="B4" i="3"/>
  <c r="B8" i="3"/>
  <c r="B21" i="3"/>
  <c r="B12" i="3"/>
  <c r="B27" i="3"/>
  <c r="B23" i="3"/>
  <c r="B19" i="3"/>
  <c r="B15" i="3"/>
  <c r="B7" i="3"/>
  <c r="B3" i="3"/>
  <c r="B29" i="3"/>
  <c r="B20" i="3"/>
  <c r="B11" i="3"/>
  <c r="B25" i="3"/>
  <c r="B28" i="3"/>
  <c r="B16" i="3"/>
  <c r="B30" i="3"/>
  <c r="B26" i="3"/>
  <c r="B22" i="3"/>
  <c r="B18" i="3"/>
  <c r="B14" i="3"/>
  <c r="B10" i="3"/>
  <c r="B6" i="3"/>
  <c r="B2" i="3"/>
  <c r="B1" i="3"/>
  <c r="C10" i="3" a="1"/>
  <c r="C29" i="3" a="1"/>
  <c r="C6" i="3" a="1"/>
  <c r="C25" i="3" a="1"/>
  <c r="C7" i="3" a="1"/>
  <c r="C9" i="3" a="1"/>
  <c r="C23" i="3" a="1"/>
  <c r="C30" i="3" a="1"/>
  <c r="C28" i="3" a="1"/>
  <c r="C26" i="3" a="1"/>
  <c r="C20" i="3" a="1"/>
  <c r="C4" i="3" a="1"/>
  <c r="C17" i="3" a="1"/>
  <c r="C24" i="3" a="1"/>
  <c r="C1" i="3" a="1"/>
  <c r="C27" i="3" a="1"/>
  <c r="C14" i="3" a="1"/>
  <c r="C11" i="3" a="1"/>
  <c r="C22" i="3" a="1"/>
  <c r="C13" i="3" a="1"/>
  <c r="C5" i="3" a="1"/>
  <c r="C19" i="3" a="1"/>
  <c r="C2" i="3" a="1"/>
  <c r="C21" i="3" a="1"/>
  <c r="C18" i="3" a="1"/>
  <c r="C8" i="3" a="1"/>
  <c r="C16" i="3" a="1"/>
  <c r="C3" i="3" a="1"/>
  <c r="C12" i="3" a="1"/>
  <c r="C15" i="3" a="1"/>
  <c r="C24" i="3" l="1"/>
  <c r="C21" i="3"/>
  <c r="C22" i="3"/>
  <c r="C16" i="3"/>
  <c r="C18" i="3"/>
  <c r="C29" i="3"/>
  <c r="C26" i="3"/>
  <c r="C15" i="3"/>
  <c r="C28" i="3"/>
  <c r="C19" i="3"/>
  <c r="C25" i="3"/>
  <c r="C23" i="3"/>
  <c r="C20" i="3"/>
  <c r="C27" i="3"/>
  <c r="C17" i="3"/>
  <c r="C30" i="3"/>
  <c r="C12" i="3"/>
  <c r="C11" i="3"/>
  <c r="C3" i="3"/>
  <c r="C1" i="3"/>
  <c r="C7" i="3"/>
  <c r="C4" i="3"/>
  <c r="C2" i="3"/>
  <c r="C5" i="3"/>
  <c r="C14" i="3"/>
  <c r="C8" i="3"/>
  <c r="C6" i="3"/>
  <c r="C9" i="3"/>
  <c r="C10" i="3"/>
  <c r="C13" i="3"/>
  <c r="F43" i="1"/>
  <c r="F44" i="1"/>
  <c r="F45" i="1"/>
  <c r="F46" i="1"/>
  <c r="F47" i="1"/>
  <c r="F42" i="1"/>
  <c r="F37" i="1"/>
  <c r="F38" i="1"/>
  <c r="F39" i="1"/>
  <c r="F40" i="1"/>
  <c r="F41" i="1"/>
  <c r="F36" i="1"/>
  <c r="F24" i="1"/>
  <c r="F25" i="1"/>
  <c r="F26" i="1"/>
  <c r="F27" i="1"/>
  <c r="F28" i="1"/>
  <c r="F29" i="1"/>
  <c r="F30" i="1"/>
  <c r="F31" i="1"/>
  <c r="F32" i="1"/>
  <c r="F33" i="1"/>
  <c r="F34" i="1"/>
  <c r="F35" i="1"/>
  <c r="F23" i="1"/>
  <c r="F14" i="1"/>
  <c r="F15" i="1"/>
  <c r="F16" i="1"/>
  <c r="F17" i="1"/>
  <c r="F18" i="1"/>
  <c r="F19" i="1"/>
  <c r="F20" i="1"/>
  <c r="F21" i="1"/>
  <c r="F22" i="1"/>
  <c r="F13" i="1"/>
  <c r="F3" i="1"/>
  <c r="F4" i="1"/>
  <c r="F5" i="1"/>
  <c r="F6" i="1"/>
  <c r="F7" i="1"/>
  <c r="F8" i="1"/>
  <c r="F9" i="1"/>
  <c r="F10" i="1"/>
  <c r="F11" i="1"/>
  <c r="F12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<sst xmlns="http://schemas.openxmlformats.org/spreadsheetml/2006/main" count="1058" uniqueCount="190">
  <si>
    <t>Game</t>
  </si>
  <si>
    <t>Round</t>
  </si>
  <si>
    <t>Time Remaining</t>
  </si>
  <si>
    <t>Target</t>
  </si>
  <si>
    <t>Comments</t>
  </si>
  <si>
    <t>No</t>
  </si>
  <si>
    <t>VS. Jewel Box</t>
  </si>
  <si>
    <t>Yes</t>
  </si>
  <si>
    <t>Tsuna Nekota</t>
  </si>
  <si>
    <t>Jewel Box</t>
  </si>
  <si>
    <t>First friend lost: his CR Cup 10 teammate</t>
  </si>
  <si>
    <t>VS. Epicenter, Make Way and Dekani9</t>
  </si>
  <si>
    <t>Close call but all damage to Qpi was from Nemesis</t>
  </si>
  <si>
    <t>Hizaki Gamma</t>
  </si>
  <si>
    <t>Dekani9</t>
  </si>
  <si>
    <t>VS. KGH; Eaten by Shiina's pylon</t>
  </si>
  <si>
    <t>VS. Dekani9</t>
  </si>
  <si>
    <t>Kanae</t>
  </si>
  <si>
    <t>Team Solo NIJISANJI</t>
  </si>
  <si>
    <t>Honma Himawari</t>
  </si>
  <si>
    <t>Kansai Genki Hoan Kyoukai</t>
  </si>
  <si>
    <t>Sliding Triple-Hit Riot Drill onto Kansai Genki Hoan Kyoukai</t>
  </si>
  <si>
    <t>Shiina Yuika</t>
  </si>
  <si>
    <t>First Riot Drill Knock</t>
  </si>
  <si>
    <t>Utai Meika</t>
  </si>
  <si>
    <t>Aruse Inu</t>
  </si>
  <si>
    <t>StarReiDogs</t>
  </si>
  <si>
    <t>VS. DatsuCustomBancho</t>
  </si>
  <si>
    <t>Kuga Leo</t>
  </si>
  <si>
    <t>Triple-Hit Riot Drill onto DatsuCustomBancho</t>
  </si>
  <si>
    <t>Pakael</t>
  </si>
  <si>
    <t>First Riot Drill Kill</t>
  </si>
  <si>
    <t>Hoshikawa Sara</t>
  </si>
  <si>
    <t>Second Riot Drill Kill</t>
  </si>
  <si>
    <t>Shirayuki Reid</t>
  </si>
  <si>
    <t>Third Riot Drill Kill</t>
  </si>
  <si>
    <t>Baited by Selen (ft. Regis &amp; Axel)</t>
  </si>
  <si>
    <t>Ex Albio</t>
  </si>
  <si>
    <t>AQF</t>
  </si>
  <si>
    <t>Kaminari Qpi</t>
  </si>
  <si>
    <t>Close fight; Qpi got her revenge from last game</t>
  </si>
  <si>
    <t>Kuzuha</t>
  </si>
  <si>
    <t>VS. Gorilla Transportation and Dekani9</t>
  </si>
  <si>
    <t>Inui Shinichiro</t>
  </si>
  <si>
    <t>InutoLion</t>
  </si>
  <si>
    <t>Backup POV from Hira Hikari</t>
  </si>
  <si>
    <t>Ring Closing</t>
  </si>
  <si>
    <t>Hit</t>
  </si>
  <si>
    <t>Target Team</t>
  </si>
  <si>
    <t>Start Time</t>
  </si>
  <si>
    <t>Time Stamp Value</t>
  </si>
  <si>
    <t>Day</t>
  </si>
  <si>
    <t>Hira Hikari</t>
  </si>
  <si>
    <t>Close call thanks to Inui's Black Market</t>
  </si>
  <si>
    <t>Aizawa Ema</t>
  </si>
  <si>
    <t>3Seiketsu</t>
  </si>
  <si>
    <t>VS. Jewel Box and 3Seiketsu</t>
  </si>
  <si>
    <t>Natsuiro Matsuri</t>
  </si>
  <si>
    <t>Elu</t>
  </si>
  <si>
    <t>Hunted by Mad Maggie after Ema went down</t>
  </si>
  <si>
    <t>Jewel Box vs. 3Seiketsu with Starry Sky Magic as interference</t>
  </si>
  <si>
    <t>Yakumo Beni</t>
  </si>
  <si>
    <t>Tokoyami Towa</t>
  </si>
  <si>
    <t>Ichinose Uruha</t>
  </si>
  <si>
    <t>CR Cup 10's most drilled victim gets drilled again</t>
  </si>
  <si>
    <t>Ibrahim</t>
  </si>
  <si>
    <t>Occupying the neighboring building is Pink à la Mode</t>
  </si>
  <si>
    <t>VS. StarReiDogs</t>
  </si>
  <si>
    <t>Axel Syrios</t>
  </si>
  <si>
    <t>Team Snake Bite</t>
  </si>
  <si>
    <t>VS. DatsuCustomBancho and Jewel Box</t>
  </si>
  <si>
    <t>Rikka escaped the last fight so Pakael could have his revenge</t>
  </si>
  <si>
    <t>Oof... missed traded for 2 charge rifle shots</t>
  </si>
  <si>
    <t>Meddling in Jewel Box vs. Dekani9, triple drill</t>
  </si>
  <si>
    <t>Shinomiya Runa</t>
  </si>
  <si>
    <t>Hanabusa Lisa</t>
  </si>
  <si>
    <t>Pink Brain</t>
  </si>
  <si>
    <t>Triple drill onto Pink Brain; Tense fight vs. Pink Brain</t>
  </si>
  <si>
    <t>Fura Kanato</t>
  </si>
  <si>
    <t>Makaino Ririmu</t>
  </si>
  <si>
    <t>Shishigami Leona</t>
  </si>
  <si>
    <t>VS. InutoLion</t>
  </si>
  <si>
    <t>Higuchi Kaede</t>
  </si>
  <si>
    <t>Maple Nuts Bunny-dayo</t>
  </si>
  <si>
    <t>VS. Maple Nuts Bunny-dayo (ft. a tired Kaede and Mimi)</t>
  </si>
  <si>
    <t>Tosaki Mimi</t>
  </si>
  <si>
    <t>Mimi screams</t>
  </si>
  <si>
    <t>Kurumi Noah</t>
  </si>
  <si>
    <t>Distracted by a 3rd party (Team Hinano)</t>
  </si>
  <si>
    <t>Aimed towards Team Snake Bite vs. AQF</t>
  </si>
  <si>
    <t>Aimed towards Pink Brain</t>
  </si>
  <si>
    <t>lol</t>
  </si>
  <si>
    <t>Aimed at Leona from InutoLion</t>
  </si>
  <si>
    <t>Aimed at KGH; drill eaten by Shiina's pylon?</t>
  </si>
  <si>
    <t>Harassing KGH</t>
  </si>
  <si>
    <t>Aimed at Niu from Gorilla Transportation</t>
  </si>
  <si>
    <t>Another triple drill onto Pink Brain</t>
  </si>
  <si>
    <t>Match Elapsed</t>
  </si>
  <si>
    <t>Aimed at NIJISANJI Destroy</t>
  </si>
  <si>
    <t>Close call for Pink à la Mode</t>
  </si>
  <si>
    <t>Caustic Barrel</t>
  </si>
  <si>
    <t>Komori Met</t>
  </si>
  <si>
    <t>Sadame Gaming</t>
  </si>
  <si>
    <t>Poking Pink Brain</t>
  </si>
  <si>
    <t>a demon whines</t>
  </si>
  <si>
    <t>at least they figured out why Asumi's catalyst tactical did damage</t>
  </si>
  <si>
    <t>Ratna Petit</t>
  </si>
  <si>
    <t>NIJISANJI Destroy</t>
  </si>
  <si>
    <t>Naraka</t>
  </si>
  <si>
    <t>Riot Drill Kill</t>
  </si>
  <si>
    <t>Astel Leda</t>
  </si>
  <si>
    <t>Starry Sky Magic</t>
  </si>
  <si>
    <t>First Self-Inflicted Drill</t>
  </si>
  <si>
    <t>DatsuKasu</t>
  </si>
  <si>
    <t>Naruse Naru</t>
  </si>
  <si>
    <t>Drone Destroyed</t>
  </si>
  <si>
    <t>La+ Darknesss</t>
  </si>
  <si>
    <t>Episenda</t>
  </si>
  <si>
    <t>No POV; based on Lisa's POV and her positioning</t>
  </si>
  <si>
    <t>Fuwa Minato</t>
  </si>
  <si>
    <t>Yozuna Niu</t>
  </si>
  <si>
    <t>Gorilla Transportation</t>
  </si>
  <si>
    <t>NO POV; guessing based on Map POV</t>
  </si>
  <si>
    <t>NO POV; guessing based on drill position and Kanae's POV</t>
  </si>
  <si>
    <t>Triple Drill onto Sadame Gaming</t>
  </si>
  <si>
    <t>Eaten by Ratna's Pylon</t>
  </si>
  <si>
    <t>Triple Drill onto Team Solo NIJISANJI</t>
  </si>
  <si>
    <t>Lauren Iroas</t>
  </si>
  <si>
    <t>POV is Members Only</t>
  </si>
  <si>
    <t>Yuhi Riri</t>
  </si>
  <si>
    <t>Astel was almost knocked for that</t>
  </si>
  <si>
    <t>Sadame retaliates with a Bangalore ultimate</t>
  </si>
  <si>
    <t>Triple Drill into Triple Kill</t>
  </si>
  <si>
    <t>No POV; based on Map POV; Harassing Episenda</t>
  </si>
  <si>
    <t>dtto.</t>
  </si>
  <si>
    <t>No POV; based on Map POV</t>
  </si>
  <si>
    <t>No POV; based on Map POV; guessing at La+ movement</t>
  </si>
  <si>
    <t>Nemesis hit Kaede</t>
  </si>
  <si>
    <t>walked past drill after Reid killed Astel</t>
  </si>
  <si>
    <t>Crafter was the target</t>
  </si>
  <si>
    <t>VS. Team Solo NIJISANJI</t>
  </si>
  <si>
    <t>Close call with Yuhi Riri</t>
  </si>
  <si>
    <t>VS. NIJISANJI Destroy</t>
  </si>
  <si>
    <t>Yang Nari</t>
  </si>
  <si>
    <t>Pink à la Mode</t>
  </si>
  <si>
    <t>Tsuna beaming</t>
  </si>
  <si>
    <t>Interfering NIJISANJI Destroy vs. AQF</t>
  </si>
  <si>
    <t>POV is Members Only; Yuhi Riri POV to confirm hit</t>
  </si>
  <si>
    <t>*</t>
  </si>
  <si>
    <t>Team Name</t>
  </si>
  <si>
    <t>Leader</t>
  </si>
  <si>
    <t>Coach</t>
  </si>
  <si>
    <t>BobSappAim</t>
  </si>
  <si>
    <t>Cpt</t>
  </si>
  <si>
    <t>Mukai</t>
  </si>
  <si>
    <t>YufuNa</t>
  </si>
  <si>
    <t>uruca</t>
  </si>
  <si>
    <t>Virtual Gorilla</t>
  </si>
  <si>
    <t>Kaga Nazuna</t>
  </si>
  <si>
    <t>Dexyuku</t>
  </si>
  <si>
    <t>AhnuG</t>
  </si>
  <si>
    <t>Rikka</t>
  </si>
  <si>
    <t>Eden</t>
  </si>
  <si>
    <t>KatyouGetsu</t>
  </si>
  <si>
    <t>Tachibana Hinano</t>
  </si>
  <si>
    <t>Watarai Hibari</t>
  </si>
  <si>
    <t>Uzuki Kou</t>
  </si>
  <si>
    <t>Mondo</t>
  </si>
  <si>
    <t>Higuichi Kaede</t>
  </si>
  <si>
    <t>M1ko_d4yo</t>
  </si>
  <si>
    <t>Rinshan</t>
  </si>
  <si>
    <t>rpr</t>
  </si>
  <si>
    <t>Selen Tatsuki</t>
  </si>
  <si>
    <t>Regis Altare</t>
  </si>
  <si>
    <t>oh Nocturnal</t>
  </si>
  <si>
    <t>Kaga Sumire</t>
  </si>
  <si>
    <t>Yuuki Chihiro</t>
  </si>
  <si>
    <t>ChaNRiyo</t>
  </si>
  <si>
    <t>Ha Yun</t>
  </si>
  <si>
    <t>Minase</t>
  </si>
  <si>
    <t>H1yaA</t>
  </si>
  <si>
    <t>Mayumi-do Shiroan Set</t>
  </si>
  <si>
    <t>Yukishiro Mahiro</t>
  </si>
  <si>
    <t>Seto Miyako</t>
  </si>
  <si>
    <t>And Uge</t>
  </si>
  <si>
    <t>Tsubaki</t>
  </si>
  <si>
    <t>Alelu</t>
  </si>
  <si>
    <t>DizzyTrickstar</t>
  </si>
  <si>
    <t>Member 1</t>
  </si>
  <si>
    <t>Member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</si>
</sst>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7E1CD"/>
        <bgColor indexed="64"/>
      </patternFill>
    </fill>
    <fill>
      <patternFill patternType="solid">
        <fgColor rgb="FFF4C7C3"/>
        <bgColor indexed="64"/>
      </patternFill>
    </fill>
  </fills>
  <borders count="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20" fontId="0" fillId="0" borderId="0" xfId="0" applyNumberFormat="1"/>
    <xf numFmtId="1" fontId="0" fillId="0" borderId="0" xfId="0" applyNumberFormat="1"/>
    <xf numFmtId="0" fontId="0" fillId="0" borderId="0" xfId="0" applyNumberFormat="1"/>
    <xf numFmtId="0" fontId="1" fillId="3" borderId="2" xfId="1" applyFill="1" applyBorder="1" applyAlignment="1">
      <alignment horizontal="center" wrapText="1"/>
    </xf>
    <xf numFmtId="0" fontId="1" fillId="2" borderId="2" xfId="1" applyFill="1" applyBorder="1" applyAlignment="1">
      <alignment horizontal="center" wrapText="1"/>
    </xf>
    <xf numFmtId="0" fontId="1" fillId="3" borderId="3" xfId="1" applyFill="1" applyBorder="1" applyAlignment="1">
      <alignment horizontal="center" wrapText="1"/>
    </xf>
    <xf numFmtId="0" fontId="1" fillId="2" borderId="3" xfId="1" applyFill="1" applyBorder="1" applyAlignment="1">
      <alignment horizontal="center" wrapText="1"/>
    </xf>
    <xf numFmtId="0" fontId="1" fillId="2" borderId="1" xfId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live/GMYN2t6bqPw?feature=share&amp;t=3515" TargetMode="External"/><Relationship Id="rId21" Type="http://schemas.openxmlformats.org/officeDocument/2006/relationships/hyperlink" Target="https://www.youtube.com/live/GMYN2t6bqPw?feature=share&amp;t=3431" TargetMode="External"/><Relationship Id="rId34" Type="http://schemas.openxmlformats.org/officeDocument/2006/relationships/hyperlink" Target="https://www.youtube.com/live/GMYN2t6bqPw?feature=share&amp;t=4764" TargetMode="External"/><Relationship Id="rId42" Type="http://schemas.openxmlformats.org/officeDocument/2006/relationships/hyperlink" Target="https://www.youtube.com/live/GMYN2t6bqPw?feature=share&amp;t=6456" TargetMode="External"/><Relationship Id="rId47" Type="http://schemas.openxmlformats.org/officeDocument/2006/relationships/hyperlink" Target="https://www.youtube.com/live/GMYN2t6bqPw?feature=share&amp;t=10470" TargetMode="External"/><Relationship Id="rId50" Type="http://schemas.openxmlformats.org/officeDocument/2006/relationships/hyperlink" Target="https://www.youtube.com/live/GMYN2t6bqPw?feature=share&amp;t=10812" TargetMode="External"/><Relationship Id="rId55" Type="http://schemas.openxmlformats.org/officeDocument/2006/relationships/hyperlink" Target="https://www.youtube.com/live/GMYN2t6bqPw?feature=share&amp;t=11043" TargetMode="External"/><Relationship Id="rId63" Type="http://schemas.openxmlformats.org/officeDocument/2006/relationships/hyperlink" Target="https://www.youtube.com/live/GMYN2t6bqPw?feature=share&amp;t=13075" TargetMode="External"/><Relationship Id="rId7" Type="http://schemas.openxmlformats.org/officeDocument/2006/relationships/hyperlink" Target="https://www.youtube.com/live/GMYN2t6bqPw?feature=share&amp;t=1434" TargetMode="External"/><Relationship Id="rId2" Type="http://schemas.openxmlformats.org/officeDocument/2006/relationships/hyperlink" Target="https://www.youtube.com/live/GMYN2t6bqPw?feature=share&amp;t=1162" TargetMode="External"/><Relationship Id="rId16" Type="http://schemas.openxmlformats.org/officeDocument/2006/relationships/hyperlink" Target="https://www.youtube.com/live/GMYN2t6bqPw?feature=share&amp;t=3328" TargetMode="External"/><Relationship Id="rId29" Type="http://schemas.openxmlformats.org/officeDocument/2006/relationships/hyperlink" Target="https://www.youtube.com/live/GMYN2t6bqPw?feature=share&amp;t=3541" TargetMode="External"/><Relationship Id="rId11" Type="http://schemas.openxmlformats.org/officeDocument/2006/relationships/hyperlink" Target="https://www.youtube.com/live/GMYN2t6bqPw?feature=share&amp;t=1596" TargetMode="External"/><Relationship Id="rId24" Type="http://schemas.openxmlformats.org/officeDocument/2006/relationships/hyperlink" Target="https://www.youtube.com/live/GMYN2t6bqPw?feature=share&amp;t=3483" TargetMode="External"/><Relationship Id="rId32" Type="http://schemas.openxmlformats.org/officeDocument/2006/relationships/hyperlink" Target="https://www.youtube.com/live/GMYN2t6bqPw?feature=share&amp;t=4724" TargetMode="External"/><Relationship Id="rId37" Type="http://schemas.openxmlformats.org/officeDocument/2006/relationships/hyperlink" Target="https://www.youtube.com/live/GMYN2t6bqPw?feature=share&amp;t=5028" TargetMode="External"/><Relationship Id="rId40" Type="http://schemas.openxmlformats.org/officeDocument/2006/relationships/hyperlink" Target="https://www.youtube.com/live/GMYN2t6bqPw?feature=share&amp;t=5168" TargetMode="External"/><Relationship Id="rId45" Type="http://schemas.openxmlformats.org/officeDocument/2006/relationships/hyperlink" Target="https://www.youtube.com/live/GMYN2t6bqPw?feature=share&amp;t=10325" TargetMode="External"/><Relationship Id="rId53" Type="http://schemas.openxmlformats.org/officeDocument/2006/relationships/hyperlink" Target="https://www.youtube.com/live/GMYN2t6bqPw?feature=share&amp;t=10966" TargetMode="External"/><Relationship Id="rId58" Type="http://schemas.openxmlformats.org/officeDocument/2006/relationships/hyperlink" Target="https://www.youtube.com/live/GMYN2t6bqPw?feature=share&amp;t=12424" TargetMode="External"/><Relationship Id="rId66" Type="http://schemas.openxmlformats.org/officeDocument/2006/relationships/printerSettings" Target="../printerSettings/printerSettings4.bin"/><Relationship Id="rId5" Type="http://schemas.openxmlformats.org/officeDocument/2006/relationships/hyperlink" Target="https://www.youtube.com/live/GMYN2t6bqPw?feature=share&amp;t=1362" TargetMode="External"/><Relationship Id="rId61" Type="http://schemas.openxmlformats.org/officeDocument/2006/relationships/hyperlink" Target="https://www.youtube.com/live/GMYN2t6bqPw?feature=share&amp;t=12600" TargetMode="External"/><Relationship Id="rId19" Type="http://schemas.openxmlformats.org/officeDocument/2006/relationships/hyperlink" Target="https://www.youtube.com/live/GMYN2t6bqPw?feature=share&amp;t=3357" TargetMode="External"/><Relationship Id="rId14" Type="http://schemas.openxmlformats.org/officeDocument/2006/relationships/hyperlink" Target="https://www.youtube.com/live/GMYN2t6bqPw?feature=share&amp;t=3256" TargetMode="External"/><Relationship Id="rId22" Type="http://schemas.openxmlformats.org/officeDocument/2006/relationships/hyperlink" Target="https://www.youtube.com/live/GMYN2t6bqPw?feature=share&amp;t=3431" TargetMode="External"/><Relationship Id="rId27" Type="http://schemas.openxmlformats.org/officeDocument/2006/relationships/hyperlink" Target="https://www.youtube.com/live/GMYN2t6bqPw?feature=share&amp;t=3541" TargetMode="External"/><Relationship Id="rId30" Type="http://schemas.openxmlformats.org/officeDocument/2006/relationships/hyperlink" Target="https://www.youtube.com/live/GMYN2t6bqPw?feature=share&amp;t=3585" TargetMode="External"/><Relationship Id="rId35" Type="http://schemas.openxmlformats.org/officeDocument/2006/relationships/hyperlink" Target="https://www.youtube.com/live/GMYN2t6bqPw?feature=share&amp;t=4790" TargetMode="External"/><Relationship Id="rId43" Type="http://schemas.openxmlformats.org/officeDocument/2006/relationships/hyperlink" Target="https://www.youtube.com/live/GMYN2t6bqPw?feature=share&amp;t=6654" TargetMode="External"/><Relationship Id="rId48" Type="http://schemas.openxmlformats.org/officeDocument/2006/relationships/hyperlink" Target="https://www.youtube.com/live/GMYN2t6bqPw?feature=share&amp;t=10576" TargetMode="External"/><Relationship Id="rId56" Type="http://schemas.openxmlformats.org/officeDocument/2006/relationships/hyperlink" Target="https://www.youtube.com/live/GMYN2t6bqPw?feature=share&amp;t=12347" TargetMode="External"/><Relationship Id="rId64" Type="http://schemas.openxmlformats.org/officeDocument/2006/relationships/hyperlink" Target="https://www.youtube.com/live/GMYN2t6bqPw?feature=share&amp;t=13101" TargetMode="External"/><Relationship Id="rId8" Type="http://schemas.openxmlformats.org/officeDocument/2006/relationships/hyperlink" Target="https://www.youtube.com/live/GMYN2t6bqPw?feature=share&amp;t=1505" TargetMode="External"/><Relationship Id="rId51" Type="http://schemas.openxmlformats.org/officeDocument/2006/relationships/hyperlink" Target="https://www.youtube.com/live/GMYN2t6bqPw?feature=share&amp;t=10839" TargetMode="External"/><Relationship Id="rId3" Type="http://schemas.openxmlformats.org/officeDocument/2006/relationships/hyperlink" Target="https://www.youtube.com/live/GMYN2t6bqPw?feature=share&amp;t=1289" TargetMode="External"/><Relationship Id="rId12" Type="http://schemas.openxmlformats.org/officeDocument/2006/relationships/hyperlink" Target="https://www.youtube.com/live/GMYN2t6bqPw?feature=share&amp;t=1596" TargetMode="External"/><Relationship Id="rId17" Type="http://schemas.openxmlformats.org/officeDocument/2006/relationships/hyperlink" Target="https://www.youtube.com/live/GMYN2t6bqPw?feature=share&amp;t=3357" TargetMode="External"/><Relationship Id="rId25" Type="http://schemas.openxmlformats.org/officeDocument/2006/relationships/hyperlink" Target="https://www.youtube.com/live/GMYN2t6bqPw?feature=share&amp;t=3515" TargetMode="External"/><Relationship Id="rId33" Type="http://schemas.openxmlformats.org/officeDocument/2006/relationships/hyperlink" Target="https://www.youtube.com/live/GMYN2t6bqPw?feature=share&amp;t=4724" TargetMode="External"/><Relationship Id="rId38" Type="http://schemas.openxmlformats.org/officeDocument/2006/relationships/hyperlink" Target="https://www.youtube.com/live/GMYN2t6bqPw?feature=share&amp;t=5137" TargetMode="External"/><Relationship Id="rId46" Type="http://schemas.openxmlformats.org/officeDocument/2006/relationships/hyperlink" Target="https://www.youtube.com/live/GMYN2t6bqPw?feature=share&amp;t=10445" TargetMode="External"/><Relationship Id="rId59" Type="http://schemas.openxmlformats.org/officeDocument/2006/relationships/hyperlink" Target="https://www.youtube.com/live/GMYN2t6bqPw?feature=share&amp;t=12446" TargetMode="External"/><Relationship Id="rId20" Type="http://schemas.openxmlformats.org/officeDocument/2006/relationships/hyperlink" Target="https://www.youtube.com/live/GMYN2t6bqPw?feature=share&amp;t=3400" TargetMode="External"/><Relationship Id="rId41" Type="http://schemas.openxmlformats.org/officeDocument/2006/relationships/hyperlink" Target="https://www.youtube.com/live/GMYN2t6bqPw?feature=share&amp;t=6175" TargetMode="External"/><Relationship Id="rId54" Type="http://schemas.openxmlformats.org/officeDocument/2006/relationships/hyperlink" Target="https://www.youtube.com/live/GMYN2t6bqPw?feature=share&amp;t=11017" TargetMode="External"/><Relationship Id="rId62" Type="http://schemas.openxmlformats.org/officeDocument/2006/relationships/hyperlink" Target="https://www.youtube.com/live/GMYN2t6bqPw?feature=share&amp;t=12696" TargetMode="External"/><Relationship Id="rId1" Type="http://schemas.openxmlformats.org/officeDocument/2006/relationships/hyperlink" Target="https://www.youtube.com/live/GMYN2t6bqPw?feature=share&amp;t=1116" TargetMode="External"/><Relationship Id="rId6" Type="http://schemas.openxmlformats.org/officeDocument/2006/relationships/hyperlink" Target="https://www.youtube.com/live/GMYN2t6bqPw?feature=share&amp;t=1404" TargetMode="External"/><Relationship Id="rId15" Type="http://schemas.openxmlformats.org/officeDocument/2006/relationships/hyperlink" Target="https://www.youtube.com/live/GMYN2t6bqPw?feature=share&amp;t=3256" TargetMode="External"/><Relationship Id="rId23" Type="http://schemas.openxmlformats.org/officeDocument/2006/relationships/hyperlink" Target="https://www.youtube.com/live/GMYN2t6bqPw?feature=share&amp;t=3431" TargetMode="External"/><Relationship Id="rId28" Type="http://schemas.openxmlformats.org/officeDocument/2006/relationships/hyperlink" Target="https://www.youtube.com/live/GMYN2t6bqPw?feature=share&amp;t=3541" TargetMode="External"/><Relationship Id="rId36" Type="http://schemas.openxmlformats.org/officeDocument/2006/relationships/hyperlink" Target="https://www.youtube.com/live/GMYN2t6bqPw?feature=share&amp;t=5030" TargetMode="External"/><Relationship Id="rId49" Type="http://schemas.openxmlformats.org/officeDocument/2006/relationships/hyperlink" Target="https://www.youtube.com/live/GMYN2t6bqPw?feature=share&amp;t=10654" TargetMode="External"/><Relationship Id="rId57" Type="http://schemas.openxmlformats.org/officeDocument/2006/relationships/hyperlink" Target="https://www.youtube.com/live/GMYN2t6bqPw?feature=share&amp;t=12398" TargetMode="External"/><Relationship Id="rId10" Type="http://schemas.openxmlformats.org/officeDocument/2006/relationships/hyperlink" Target="https://www.youtube.com/live/GMYN2t6bqPw?feature=share&amp;t=1546" TargetMode="External"/><Relationship Id="rId31" Type="http://schemas.openxmlformats.org/officeDocument/2006/relationships/hyperlink" Target="https://www.youtube.com/live/GMYN2t6bqPw?feature=share&amp;t=3613" TargetMode="External"/><Relationship Id="rId44" Type="http://schemas.openxmlformats.org/officeDocument/2006/relationships/hyperlink" Target="https://www.youtube.com/live/GMYN2t6bqPw?feature=share&amp;t=6756" TargetMode="External"/><Relationship Id="rId52" Type="http://schemas.openxmlformats.org/officeDocument/2006/relationships/hyperlink" Target="https://www.youtube.com/live/GMYN2t6bqPw?feature=share&amp;t=10924" TargetMode="External"/><Relationship Id="rId60" Type="http://schemas.openxmlformats.org/officeDocument/2006/relationships/hyperlink" Target="https://www.youtube.com/live/GMYN2t6bqPw?feature=share&amp;t=12503" TargetMode="External"/><Relationship Id="rId65" Type="http://schemas.openxmlformats.org/officeDocument/2006/relationships/hyperlink" Target="https://www.youtube.com/live/GMYN2t6bqPw?feature=share&amp;t=13123" TargetMode="External"/><Relationship Id="rId4" Type="http://schemas.openxmlformats.org/officeDocument/2006/relationships/hyperlink" Target="https://www.youtube.com/live/GMYN2t6bqPw?feature=share&amp;t=1332" TargetMode="External"/><Relationship Id="rId9" Type="http://schemas.openxmlformats.org/officeDocument/2006/relationships/hyperlink" Target="https://www.youtube.com/live/GMYN2t6bqPw?feature=share&amp;t=1505" TargetMode="External"/><Relationship Id="rId13" Type="http://schemas.openxmlformats.org/officeDocument/2006/relationships/hyperlink" Target="https://www.youtube.com/live/GMYN2t6bqPw?feature=share&amp;t=3168" TargetMode="External"/><Relationship Id="rId18" Type="http://schemas.openxmlformats.org/officeDocument/2006/relationships/hyperlink" Target="https://www.youtube.com/live/GMYN2t6bqPw?feature=share&amp;t=3357" TargetMode="External"/><Relationship Id="rId39" Type="http://schemas.openxmlformats.org/officeDocument/2006/relationships/hyperlink" Target="https://www.youtube.com/live/GMYN2t6bqPw?feature=share&amp;t=516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46332-B4EC-4CBE-844F-A909EAC0D071}">
  <sheetPr codeName="Sheet1"/>
  <dimension ref="A1:C33"/>
  <sheetViews>
    <sheetView topLeftCell="A17" workbookViewId="0">
      <selection activeCell="C30" sqref="C30"/>
    </sheetView>
  </sheetViews>
  <sheetFormatPr defaultRowHeight="14.4" x14ac:dyDescent="0.3"/>
  <cols>
    <col min="3" max="3" width="15" style="2" customWidth="1"/>
  </cols>
  <sheetData>
    <row r="1" spans="1:3" x14ac:dyDescent="0.3">
      <c r="A1" t="s">
        <v>51</v>
      </c>
      <c r="B1" t="s">
        <v>0</v>
      </c>
      <c r="C1" s="2" t="s">
        <v>49</v>
      </c>
    </row>
    <row r="2" spans="1:3" x14ac:dyDescent="0.3">
      <c r="A2">
        <v>1</v>
      </c>
      <c r="B2">
        <v>1</v>
      </c>
      <c r="C2" s="2">
        <v>145</v>
      </c>
    </row>
    <row r="3" spans="1:3" x14ac:dyDescent="0.3">
      <c r="B3">
        <v>2</v>
      </c>
      <c r="C3" s="2">
        <v>1955</v>
      </c>
    </row>
    <row r="4" spans="1:3" x14ac:dyDescent="0.3">
      <c r="B4">
        <v>3</v>
      </c>
      <c r="C4" s="2">
        <v>3742</v>
      </c>
    </row>
    <row r="5" spans="1:3" x14ac:dyDescent="0.3">
      <c r="B5">
        <v>4</v>
      </c>
      <c r="C5" s="2">
        <v>5460</v>
      </c>
    </row>
    <row r="6" spans="1:3" x14ac:dyDescent="0.3">
      <c r="B6">
        <v>5</v>
      </c>
      <c r="C6" s="2">
        <v>7138</v>
      </c>
    </row>
    <row r="7" spans="1:3" x14ac:dyDescent="0.3">
      <c r="B7">
        <v>6</v>
      </c>
      <c r="C7" s="2">
        <v>8798</v>
      </c>
    </row>
    <row r="8" spans="1:3" x14ac:dyDescent="0.3">
      <c r="A8">
        <v>2</v>
      </c>
      <c r="B8">
        <v>1</v>
      </c>
      <c r="C8" s="2">
        <v>294</v>
      </c>
    </row>
    <row r="9" spans="1:3" x14ac:dyDescent="0.3">
      <c r="B9">
        <v>2</v>
      </c>
      <c r="C9" s="2">
        <v>2307</v>
      </c>
    </row>
    <row r="10" spans="1:3" x14ac:dyDescent="0.3">
      <c r="B10">
        <v>3</v>
      </c>
      <c r="C10" s="2">
        <v>4101</v>
      </c>
    </row>
    <row r="11" spans="1:3" x14ac:dyDescent="0.3">
      <c r="B11">
        <v>4</v>
      </c>
      <c r="C11" s="2">
        <v>5900</v>
      </c>
    </row>
    <row r="12" spans="1:3" x14ac:dyDescent="0.3">
      <c r="B12">
        <v>5</v>
      </c>
      <c r="C12" s="2">
        <v>8170</v>
      </c>
    </row>
    <row r="13" spans="1:3" x14ac:dyDescent="0.3">
      <c r="B13">
        <v>6</v>
      </c>
      <c r="C13" s="2">
        <v>10107</v>
      </c>
    </row>
    <row r="14" spans="1:3" x14ac:dyDescent="0.3">
      <c r="A14">
        <v>3</v>
      </c>
      <c r="B14">
        <v>1</v>
      </c>
      <c r="C14" s="2">
        <v>4929</v>
      </c>
    </row>
    <row r="15" spans="1:3" x14ac:dyDescent="0.3">
      <c r="B15">
        <v>2</v>
      </c>
      <c r="C15" s="2">
        <v>6805</v>
      </c>
    </row>
    <row r="16" spans="1:3" x14ac:dyDescent="0.3">
      <c r="B16">
        <v>5</v>
      </c>
      <c r="C16" s="2">
        <v>12235</v>
      </c>
    </row>
    <row r="17" spans="1:3" x14ac:dyDescent="0.3">
      <c r="B17">
        <v>6</v>
      </c>
      <c r="C17" s="2">
        <v>14036</v>
      </c>
    </row>
    <row r="18" spans="1:3" x14ac:dyDescent="0.3">
      <c r="B18">
        <v>7</v>
      </c>
      <c r="C18" s="2">
        <v>15597</v>
      </c>
    </row>
    <row r="19" spans="1:3" x14ac:dyDescent="0.3">
      <c r="B19">
        <v>8</v>
      </c>
      <c r="C19" s="2">
        <v>18029</v>
      </c>
    </row>
    <row r="20" spans="1:3" x14ac:dyDescent="0.3">
      <c r="A20">
        <v>4</v>
      </c>
      <c r="B20">
        <v>6</v>
      </c>
      <c r="C20" s="2">
        <v>12762</v>
      </c>
    </row>
    <row r="21" spans="1:3" x14ac:dyDescent="0.3">
      <c r="A21">
        <v>5</v>
      </c>
      <c r="B21">
        <v>1</v>
      </c>
      <c r="C21" s="2">
        <v>3044</v>
      </c>
    </row>
    <row r="22" spans="1:3" x14ac:dyDescent="0.3">
      <c r="B22">
        <v>2</v>
      </c>
      <c r="C22" s="2">
        <v>4659</v>
      </c>
    </row>
    <row r="23" spans="1:3" x14ac:dyDescent="0.3">
      <c r="B23">
        <v>3</v>
      </c>
      <c r="C23" s="2">
        <v>6279</v>
      </c>
    </row>
    <row r="24" spans="1:3" x14ac:dyDescent="0.3">
      <c r="B24">
        <v>4</v>
      </c>
      <c r="C24" s="2">
        <v>8024</v>
      </c>
    </row>
    <row r="25" spans="1:3" x14ac:dyDescent="0.3">
      <c r="B25">
        <v>5</v>
      </c>
      <c r="C25" s="2">
        <v>10094</v>
      </c>
    </row>
    <row r="26" spans="1:3" x14ac:dyDescent="0.3">
      <c r="B26">
        <v>6</v>
      </c>
      <c r="C26" s="2">
        <v>11955</v>
      </c>
    </row>
    <row r="27" spans="1:3" x14ac:dyDescent="0.3">
      <c r="B27">
        <v>7</v>
      </c>
      <c r="C27" s="2">
        <v>13675</v>
      </c>
    </row>
    <row r="28" spans="1:3" x14ac:dyDescent="0.3">
      <c r="A28">
        <v>6</v>
      </c>
      <c r="B28">
        <v>1</v>
      </c>
      <c r="C28" s="2">
        <v>518</v>
      </c>
    </row>
    <row r="29" spans="1:3" x14ac:dyDescent="0.3">
      <c r="B29">
        <v>2</v>
      </c>
      <c r="C29" s="2">
        <v>2379</v>
      </c>
    </row>
    <row r="30" spans="1:3" x14ac:dyDescent="0.3">
      <c r="B30">
        <v>3</v>
      </c>
      <c r="C30" s="2">
        <v>4150</v>
      </c>
    </row>
    <row r="31" spans="1:3" x14ac:dyDescent="0.3">
      <c r="B31">
        <v>4</v>
      </c>
      <c r="C31" s="2">
        <v>5890</v>
      </c>
    </row>
    <row r="32" spans="1:3" x14ac:dyDescent="0.3">
      <c r="B32">
        <v>5</v>
      </c>
      <c r="C32" s="2">
        <v>10184</v>
      </c>
    </row>
    <row r="33" spans="2:3" x14ac:dyDescent="0.3">
      <c r="B33">
        <v>6</v>
      </c>
      <c r="C33" s="2">
        <v>11855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4E0E8-A20E-4AE0-A7F2-BC35B3571AF5}">
  <dimension ref="A1:E20"/>
  <sheetViews>
    <sheetView tabSelected="1" workbookViewId="0">
      <selection activeCell="G7" sqref="G7"/>
    </sheetView>
  </sheetViews>
  <sheetFormatPr defaultRowHeight="14.4" x14ac:dyDescent="0.3"/>
  <cols>
    <col min="1" max="1" width="23.109375" bestFit="1" customWidth="1"/>
    <col min="2" max="2" width="15.6640625" bestFit="1" customWidth="1"/>
    <col min="3" max="3" width="14.109375" bestFit="1" customWidth="1"/>
    <col min="4" max="4" width="13.88671875" bestFit="1" customWidth="1"/>
    <col min="5" max="5" width="12.109375" bestFit="1" customWidth="1"/>
  </cols>
  <sheetData>
    <row r="1" spans="1:5" x14ac:dyDescent="0.3">
      <c r="A1" t="s">
        <v>149</v>
      </c>
      <c r="B1" t="s">
        <v>150</v>
      </c>
      <c r="C1" t="s">
        <v>188</v>
      </c>
      <c r="D1" t="s">
        <v>189</v>
      </c>
      <c r="E1" t="s">
        <v>151</v>
      </c>
    </row>
    <row r="2" spans="1:5" x14ac:dyDescent="0.3">
      <c r="A2" t="s">
        <v>26</v>
      </c>
      <c r="B2" t="s">
        <v>34</v>
      </c>
      <c r="C2" t="s">
        <v>32</v>
      </c>
      <c r="D2" t="s">
        <v>25</v>
      </c>
      <c r="E2" t="s">
        <v>152</v>
      </c>
    </row>
    <row r="3" spans="1:5" x14ac:dyDescent="0.3">
      <c r="A3" t="s">
        <v>9</v>
      </c>
      <c r="B3" t="s">
        <v>8</v>
      </c>
      <c r="C3" t="s">
        <v>62</v>
      </c>
      <c r="D3" t="s">
        <v>61</v>
      </c>
      <c r="E3" t="s">
        <v>153</v>
      </c>
    </row>
    <row r="4" spans="1:5" x14ac:dyDescent="0.3">
      <c r="A4" t="s">
        <v>20</v>
      </c>
      <c r="B4" t="s">
        <v>19</v>
      </c>
      <c r="C4" t="s">
        <v>22</v>
      </c>
      <c r="D4" t="s">
        <v>24</v>
      </c>
      <c r="E4" t="s">
        <v>154</v>
      </c>
    </row>
    <row r="5" spans="1:5" x14ac:dyDescent="0.3">
      <c r="A5" t="s">
        <v>76</v>
      </c>
      <c r="B5" t="s">
        <v>75</v>
      </c>
      <c r="C5" t="s">
        <v>78</v>
      </c>
      <c r="D5" t="s">
        <v>79</v>
      </c>
      <c r="E5" t="s">
        <v>155</v>
      </c>
    </row>
    <row r="6" spans="1:5" x14ac:dyDescent="0.3">
      <c r="A6" t="s">
        <v>102</v>
      </c>
      <c r="B6" t="s">
        <v>63</v>
      </c>
      <c r="C6" t="s">
        <v>101</v>
      </c>
      <c r="D6" t="s">
        <v>65</v>
      </c>
      <c r="E6" t="s">
        <v>156</v>
      </c>
    </row>
    <row r="7" spans="1:5" x14ac:dyDescent="0.3">
      <c r="A7" t="s">
        <v>121</v>
      </c>
      <c r="B7" t="s">
        <v>157</v>
      </c>
      <c r="C7" t="s">
        <v>120</v>
      </c>
      <c r="D7" t="s">
        <v>158</v>
      </c>
      <c r="E7" t="s">
        <v>159</v>
      </c>
    </row>
    <row r="8" spans="1:5" x14ac:dyDescent="0.3">
      <c r="A8" t="s">
        <v>44</v>
      </c>
      <c r="B8" t="s">
        <v>80</v>
      </c>
      <c r="C8" t="s">
        <v>43</v>
      </c>
      <c r="D8" t="s">
        <v>52</v>
      </c>
      <c r="E8" t="s">
        <v>160</v>
      </c>
    </row>
    <row r="9" spans="1:5" x14ac:dyDescent="0.3">
      <c r="A9" t="s">
        <v>113</v>
      </c>
      <c r="B9" t="s">
        <v>30</v>
      </c>
      <c r="C9" t="s">
        <v>28</v>
      </c>
      <c r="D9" t="s">
        <v>161</v>
      </c>
      <c r="E9" t="s">
        <v>162</v>
      </c>
    </row>
    <row r="10" spans="1:5" x14ac:dyDescent="0.3">
      <c r="A10" t="s">
        <v>163</v>
      </c>
      <c r="B10" t="s">
        <v>164</v>
      </c>
      <c r="C10" t="s">
        <v>165</v>
      </c>
      <c r="D10" t="s">
        <v>166</v>
      </c>
      <c r="E10" t="s">
        <v>167</v>
      </c>
    </row>
    <row r="11" spans="1:5" x14ac:dyDescent="0.3">
      <c r="A11" t="s">
        <v>83</v>
      </c>
      <c r="B11" t="s">
        <v>87</v>
      </c>
      <c r="C11" t="s">
        <v>168</v>
      </c>
      <c r="D11" t="s">
        <v>85</v>
      </c>
      <c r="E11" t="s">
        <v>169</v>
      </c>
    </row>
    <row r="12" spans="1:5" x14ac:dyDescent="0.3">
      <c r="A12" t="s">
        <v>14</v>
      </c>
      <c r="B12" t="s">
        <v>74</v>
      </c>
      <c r="C12" t="s">
        <v>39</v>
      </c>
      <c r="D12" t="s">
        <v>13</v>
      </c>
      <c r="E12" t="s">
        <v>170</v>
      </c>
    </row>
    <row r="13" spans="1:5" x14ac:dyDescent="0.3">
      <c r="A13" t="s">
        <v>55</v>
      </c>
      <c r="B13" t="s">
        <v>57</v>
      </c>
      <c r="C13" t="s">
        <v>58</v>
      </c>
      <c r="D13" t="s">
        <v>54</v>
      </c>
      <c r="E13" t="s">
        <v>171</v>
      </c>
    </row>
    <row r="14" spans="1:5" x14ac:dyDescent="0.3">
      <c r="A14" t="s">
        <v>69</v>
      </c>
      <c r="B14" t="s">
        <v>68</v>
      </c>
      <c r="C14" t="s">
        <v>172</v>
      </c>
      <c r="D14" t="s">
        <v>173</v>
      </c>
      <c r="E14" t="s">
        <v>174</v>
      </c>
    </row>
    <row r="15" spans="1:5" x14ac:dyDescent="0.3">
      <c r="A15" t="s">
        <v>117</v>
      </c>
      <c r="B15" t="s">
        <v>175</v>
      </c>
      <c r="C15" t="s">
        <v>176</v>
      </c>
      <c r="D15" t="s">
        <v>116</v>
      </c>
      <c r="E15" t="s">
        <v>134</v>
      </c>
    </row>
    <row r="16" spans="1:5" x14ac:dyDescent="0.3">
      <c r="A16" t="s">
        <v>18</v>
      </c>
      <c r="B16" t="s">
        <v>17</v>
      </c>
      <c r="C16" t="s">
        <v>127</v>
      </c>
      <c r="D16" t="s">
        <v>129</v>
      </c>
      <c r="E16" t="s">
        <v>177</v>
      </c>
    </row>
    <row r="17" spans="1:5" x14ac:dyDescent="0.3">
      <c r="A17" t="s">
        <v>144</v>
      </c>
      <c r="B17" t="s">
        <v>178</v>
      </c>
      <c r="C17" t="s">
        <v>143</v>
      </c>
      <c r="D17" t="s">
        <v>179</v>
      </c>
      <c r="E17" t="s">
        <v>180</v>
      </c>
    </row>
    <row r="18" spans="1:5" x14ac:dyDescent="0.3">
      <c r="A18" t="s">
        <v>181</v>
      </c>
      <c r="B18" t="s">
        <v>182</v>
      </c>
      <c r="C18" t="s">
        <v>183</v>
      </c>
      <c r="D18" t="s">
        <v>184</v>
      </c>
      <c r="E18" t="s">
        <v>185</v>
      </c>
    </row>
    <row r="19" spans="1:5" x14ac:dyDescent="0.3">
      <c r="A19" t="s">
        <v>107</v>
      </c>
      <c r="B19" t="s">
        <v>106</v>
      </c>
      <c r="C19" t="s">
        <v>108</v>
      </c>
      <c r="D19" t="s">
        <v>114</v>
      </c>
      <c r="E19" t="s">
        <v>186</v>
      </c>
    </row>
    <row r="20" spans="1:5" x14ac:dyDescent="0.3">
      <c r="A20" t="s">
        <v>38</v>
      </c>
      <c r="B20" t="s">
        <v>41</v>
      </c>
      <c r="C20" t="s">
        <v>37</v>
      </c>
      <c r="D20" t="s">
        <v>119</v>
      </c>
      <c r="E20" t="s">
        <v>187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9"/>
  <sheetViews>
    <sheetView topLeftCell="A10" workbookViewId="0">
      <selection activeCell="J7" sqref="J7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1.5546875" bestFit="1" customWidth="1"/>
    <col min="4" max="4" width="14" bestFit="1" customWidth="1"/>
    <col min="5" max="5" width="15.6640625" style="2" bestFit="1" customWidth="1"/>
    <col min="6" max="6" width="13.88671875" bestFit="1" customWidth="1"/>
    <col min="7" max="7" width="9.77734375" bestFit="1" customWidth="1"/>
    <col min="8" max="8" width="15.21875" bestFit="1" customWidth="1"/>
    <col min="9" max="9" width="23.109375" bestFit="1" customWidth="1"/>
    <col min="10" max="10" width="49.1093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0.10347222222222223</v>
      </c>
      <c r="E2" s="3">
        <v>587</v>
      </c>
      <c r="F2" s="2">
        <f>'Scrims Day 1'!E2-'Game Start Times'!$C$2</f>
        <v>442</v>
      </c>
      <c r="G2" t="s">
        <v>5</v>
      </c>
      <c r="J2" t="s">
        <v>6</v>
      </c>
    </row>
    <row r="3" spans="1:10" x14ac:dyDescent="0.3">
      <c r="A3">
        <v>1</v>
      </c>
      <c r="B3">
        <v>2</v>
      </c>
      <c r="C3" t="s">
        <v>5</v>
      </c>
      <c r="D3" s="1">
        <v>8.5416666666666655E-2</v>
      </c>
      <c r="E3" s="3">
        <v>613</v>
      </c>
      <c r="F3" s="2">
        <f>'Scrims Day 1'!E3-'Game Start Times'!$C$2</f>
        <v>468</v>
      </c>
      <c r="G3" t="s">
        <v>5</v>
      </c>
    </row>
    <row r="4" spans="1:10" x14ac:dyDescent="0.3">
      <c r="A4">
        <v>1</v>
      </c>
      <c r="B4">
        <v>2</v>
      </c>
      <c r="C4" t="s">
        <v>5</v>
      </c>
      <c r="D4" s="1">
        <v>4.4444444444444446E-2</v>
      </c>
      <c r="E4" s="3">
        <v>673</v>
      </c>
      <c r="F4" s="2">
        <f>'Scrims Day 1'!E4-'Game Start Times'!$C$2</f>
        <v>528</v>
      </c>
      <c r="G4" t="s">
        <v>7</v>
      </c>
      <c r="H4" t="s">
        <v>8</v>
      </c>
      <c r="I4" t="s">
        <v>9</v>
      </c>
      <c r="J4" t="s">
        <v>10</v>
      </c>
    </row>
    <row r="5" spans="1:10" x14ac:dyDescent="0.3">
      <c r="A5">
        <v>1</v>
      </c>
      <c r="B5">
        <v>2</v>
      </c>
      <c r="C5" t="s">
        <v>7</v>
      </c>
      <c r="D5" s="1">
        <v>5.5555555555555558E-3</v>
      </c>
      <c r="E5" s="3">
        <v>803</v>
      </c>
      <c r="F5" s="2">
        <f>'Scrims Day 1'!E5-'Game Start Times'!$C$2</f>
        <v>658</v>
      </c>
      <c r="G5" t="s">
        <v>5</v>
      </c>
    </row>
    <row r="6" spans="1:10" x14ac:dyDescent="0.3">
      <c r="A6">
        <v>1</v>
      </c>
      <c r="B6">
        <v>3</v>
      </c>
      <c r="C6" t="s">
        <v>5</v>
      </c>
      <c r="D6" s="1">
        <v>6.3888888888888884E-2</v>
      </c>
      <c r="E6" s="3">
        <v>854</v>
      </c>
      <c r="F6" s="2">
        <f>'Scrims Day 1'!E6-'Game Start Times'!$C$2</f>
        <v>709</v>
      </c>
      <c r="G6" t="s">
        <v>5</v>
      </c>
      <c r="J6" t="s">
        <v>11</v>
      </c>
    </row>
    <row r="7" spans="1:10" x14ac:dyDescent="0.3">
      <c r="A7">
        <v>1</v>
      </c>
      <c r="B7">
        <v>3</v>
      </c>
      <c r="C7" t="s">
        <v>5</v>
      </c>
      <c r="D7" s="1">
        <v>1.8055555555555557E-2</v>
      </c>
      <c r="E7" s="3">
        <v>925</v>
      </c>
      <c r="F7" s="2">
        <f>'Scrims Day 1'!E7-'Game Start Times'!$C$2</f>
        <v>780</v>
      </c>
      <c r="G7" t="s">
        <v>5</v>
      </c>
      <c r="J7" t="s">
        <v>12</v>
      </c>
    </row>
    <row r="8" spans="1:10" x14ac:dyDescent="0.3">
      <c r="A8">
        <v>1</v>
      </c>
      <c r="B8">
        <v>3</v>
      </c>
      <c r="C8" t="s">
        <v>7</v>
      </c>
      <c r="D8" s="1">
        <v>6.2499999999999995E-3</v>
      </c>
      <c r="E8" s="3">
        <v>988</v>
      </c>
      <c r="F8" s="2">
        <f>'Scrims Day 1'!E8-'Game Start Times'!$C$2</f>
        <v>843</v>
      </c>
      <c r="G8" t="s">
        <v>5</v>
      </c>
    </row>
    <row r="9" spans="1:10" x14ac:dyDescent="0.3">
      <c r="A9">
        <v>1</v>
      </c>
      <c r="B9">
        <v>4</v>
      </c>
      <c r="C9" t="s">
        <v>5</v>
      </c>
      <c r="D9" s="1">
        <v>3.9583333333333331E-2</v>
      </c>
      <c r="E9" s="3">
        <v>1048</v>
      </c>
      <c r="F9" s="2">
        <f>'Scrims Day 1'!E9-'Game Start Times'!$C$2</f>
        <v>903</v>
      </c>
      <c r="G9" t="s">
        <v>7</v>
      </c>
      <c r="H9" t="s">
        <v>13</v>
      </c>
      <c r="I9" t="s">
        <v>14</v>
      </c>
    </row>
    <row r="10" spans="1:10" x14ac:dyDescent="0.3">
      <c r="A10">
        <v>1</v>
      </c>
      <c r="B10">
        <v>4</v>
      </c>
      <c r="C10" t="s">
        <v>5</v>
      </c>
      <c r="D10" s="1">
        <v>1.4583333333333332E-2</v>
      </c>
      <c r="E10" s="3">
        <v>1086</v>
      </c>
      <c r="F10" s="2">
        <f>'Scrims Day 1'!E10-'Game Start Times'!$C$2</f>
        <v>941</v>
      </c>
      <c r="G10" t="s">
        <v>5</v>
      </c>
    </row>
    <row r="11" spans="1:10" x14ac:dyDescent="0.3">
      <c r="A11">
        <v>1</v>
      </c>
      <c r="B11">
        <v>5</v>
      </c>
      <c r="C11" t="s">
        <v>5</v>
      </c>
      <c r="D11" s="1">
        <v>1.0416666666666666E-2</v>
      </c>
      <c r="E11" s="3">
        <v>1168</v>
      </c>
      <c r="F11" s="2">
        <f>'Scrims Day 1'!E11-'Game Start Times'!$C$2</f>
        <v>1023</v>
      </c>
      <c r="G11" t="s">
        <v>5</v>
      </c>
    </row>
    <row r="12" spans="1:10" x14ac:dyDescent="0.3">
      <c r="A12">
        <v>1</v>
      </c>
      <c r="B12">
        <v>5</v>
      </c>
      <c r="C12" t="s">
        <v>7</v>
      </c>
      <c r="D12" s="1">
        <v>7.6388888888888886E-3</v>
      </c>
      <c r="E12" s="3">
        <v>1280</v>
      </c>
      <c r="F12" s="2">
        <f>'Scrims Day 1'!E12-'Game Start Times'!$C$2</f>
        <v>1135</v>
      </c>
      <c r="G12" t="s">
        <v>5</v>
      </c>
      <c r="J12" t="s">
        <v>15</v>
      </c>
    </row>
    <row r="13" spans="1:10" x14ac:dyDescent="0.3">
      <c r="A13">
        <v>2</v>
      </c>
      <c r="B13">
        <v>2</v>
      </c>
      <c r="C13" t="s">
        <v>7</v>
      </c>
      <c r="D13" s="1">
        <v>2.0833333333333332E-2</v>
      </c>
      <c r="E13" s="3">
        <v>2592</v>
      </c>
      <c r="F13" s="2">
        <f>'Scrims Day 1'!E13-'Game Start Times'!$C$3</f>
        <v>637</v>
      </c>
      <c r="G13" t="s">
        <v>5</v>
      </c>
    </row>
    <row r="14" spans="1:10" x14ac:dyDescent="0.3">
      <c r="A14">
        <v>2</v>
      </c>
      <c r="B14">
        <v>3</v>
      </c>
      <c r="C14" t="s">
        <v>5</v>
      </c>
      <c r="D14" s="1">
        <v>1.1111111111111112E-2</v>
      </c>
      <c r="E14" s="3">
        <v>2746</v>
      </c>
      <c r="F14" s="2">
        <f>'Scrims Day 1'!E14-'Game Start Times'!$C$3</f>
        <v>791</v>
      </c>
      <c r="G14" t="s">
        <v>5</v>
      </c>
      <c r="J14" t="s">
        <v>16</v>
      </c>
    </row>
    <row r="15" spans="1:10" ht="16.8" customHeight="1" x14ac:dyDescent="0.3">
      <c r="A15">
        <v>2</v>
      </c>
      <c r="B15">
        <v>3</v>
      </c>
      <c r="C15" t="s">
        <v>7</v>
      </c>
      <c r="D15" s="1">
        <v>2.4305555555555556E-2</v>
      </c>
      <c r="E15" s="3">
        <v>2774</v>
      </c>
      <c r="F15" s="2">
        <f>'Scrims Day 1'!E15-'Game Start Times'!$C$3</f>
        <v>819</v>
      </c>
      <c r="G15" t="s">
        <v>7</v>
      </c>
      <c r="H15" t="s">
        <v>17</v>
      </c>
      <c r="I15" t="s">
        <v>18</v>
      </c>
    </row>
    <row r="16" spans="1:10" x14ac:dyDescent="0.3">
      <c r="A16">
        <v>2</v>
      </c>
      <c r="B16">
        <v>4</v>
      </c>
      <c r="C16" t="s">
        <v>5</v>
      </c>
      <c r="D16" s="1">
        <v>6.9444444444444434E-2</v>
      </c>
      <c r="E16" s="3">
        <v>2820</v>
      </c>
      <c r="F16" s="2">
        <f>'Scrims Day 1'!E16-'Game Start Times'!$C$3</f>
        <v>865</v>
      </c>
      <c r="G16" t="s">
        <v>5</v>
      </c>
    </row>
    <row r="17" spans="1:10" x14ac:dyDescent="0.3">
      <c r="A17">
        <v>2</v>
      </c>
      <c r="B17">
        <v>4</v>
      </c>
      <c r="C17" t="s">
        <v>5</v>
      </c>
      <c r="D17" s="1">
        <v>3.6805555555555557E-2</v>
      </c>
      <c r="E17" s="3">
        <v>2862</v>
      </c>
      <c r="F17" s="2">
        <f>'Scrims Day 1'!E17-'Game Start Times'!$C$3</f>
        <v>907</v>
      </c>
      <c r="G17" t="s">
        <v>5</v>
      </c>
    </row>
    <row r="18" spans="1:10" x14ac:dyDescent="0.3">
      <c r="A18">
        <v>2</v>
      </c>
      <c r="B18">
        <v>4</v>
      </c>
      <c r="C18" t="s">
        <v>7</v>
      </c>
      <c r="D18" s="1">
        <v>2.0833333333333332E-2</v>
      </c>
      <c r="E18" s="3">
        <v>2933</v>
      </c>
      <c r="F18" s="2">
        <f>'Scrims Day 1'!E18-'Game Start Times'!$C$3</f>
        <v>978</v>
      </c>
      <c r="G18" t="s">
        <v>5</v>
      </c>
    </row>
    <row r="19" spans="1:10" ht="16.8" customHeight="1" x14ac:dyDescent="0.3">
      <c r="A19">
        <v>2</v>
      </c>
      <c r="B19">
        <v>4</v>
      </c>
      <c r="C19" t="s">
        <v>7</v>
      </c>
      <c r="D19" s="1">
        <v>2.0833333333333333E-3</v>
      </c>
      <c r="E19" s="3">
        <v>2954</v>
      </c>
      <c r="F19" s="2">
        <f>'Scrims Day 1'!E19-'Game Start Times'!$C$3</f>
        <v>999</v>
      </c>
      <c r="G19" t="s">
        <v>7</v>
      </c>
      <c r="H19" t="s">
        <v>19</v>
      </c>
      <c r="I19" t="s">
        <v>20</v>
      </c>
      <c r="J19" t="s">
        <v>21</v>
      </c>
    </row>
    <row r="20" spans="1:10" ht="16.8" customHeight="1" x14ac:dyDescent="0.3">
      <c r="A20">
        <v>2</v>
      </c>
      <c r="B20">
        <v>4</v>
      </c>
      <c r="C20" t="s">
        <v>7</v>
      </c>
      <c r="D20" s="1">
        <v>2.0833333333333333E-3</v>
      </c>
      <c r="E20" s="3">
        <v>2954</v>
      </c>
      <c r="F20" s="2">
        <f>'Scrims Day 1'!E20-'Game Start Times'!$C$3</f>
        <v>999</v>
      </c>
      <c r="G20" t="s">
        <v>7</v>
      </c>
      <c r="H20" t="s">
        <v>22</v>
      </c>
      <c r="I20" t="s">
        <v>20</v>
      </c>
      <c r="J20" t="s">
        <v>23</v>
      </c>
    </row>
    <row r="21" spans="1:10" ht="16.8" customHeight="1" x14ac:dyDescent="0.3">
      <c r="A21">
        <v>2</v>
      </c>
      <c r="B21">
        <v>4</v>
      </c>
      <c r="C21" t="s">
        <v>7</v>
      </c>
      <c r="D21" s="1">
        <v>2.0833333333333333E-3</v>
      </c>
      <c r="E21" s="3">
        <v>2954</v>
      </c>
      <c r="F21" s="2">
        <f>'Scrims Day 1'!E21-'Game Start Times'!$C$3</f>
        <v>999</v>
      </c>
      <c r="G21" t="s">
        <v>7</v>
      </c>
      <c r="H21" t="s">
        <v>24</v>
      </c>
      <c r="I21" t="s">
        <v>20</v>
      </c>
    </row>
    <row r="22" spans="1:10" x14ac:dyDescent="0.3">
      <c r="A22">
        <v>2</v>
      </c>
      <c r="B22">
        <v>5</v>
      </c>
      <c r="C22" t="s">
        <v>7</v>
      </c>
      <c r="D22" s="1">
        <v>1.6666666666666666E-2</v>
      </c>
      <c r="E22" s="3">
        <v>3078</v>
      </c>
      <c r="F22" s="2">
        <f>'Scrims Day 1'!E22-'Game Start Times'!$C$3</f>
        <v>1123</v>
      </c>
      <c r="G22" t="s">
        <v>5</v>
      </c>
    </row>
    <row r="23" spans="1:10" x14ac:dyDescent="0.3">
      <c r="A23">
        <v>3</v>
      </c>
      <c r="B23">
        <v>2</v>
      </c>
      <c r="C23" t="s">
        <v>5</v>
      </c>
      <c r="D23" s="1">
        <v>0.11388888888888889</v>
      </c>
      <c r="E23" s="3">
        <v>4166</v>
      </c>
      <c r="F23" s="2">
        <f>'Scrims Day 1'!E23-'Game Start Times'!$C$4</f>
        <v>424</v>
      </c>
      <c r="G23" t="s">
        <v>7</v>
      </c>
      <c r="H23" t="s">
        <v>25</v>
      </c>
      <c r="I23" t="s">
        <v>26</v>
      </c>
    </row>
    <row r="24" spans="1:10" x14ac:dyDescent="0.3">
      <c r="A24">
        <v>3</v>
      </c>
      <c r="B24">
        <v>2</v>
      </c>
      <c r="C24" t="s">
        <v>7</v>
      </c>
      <c r="D24" s="1">
        <v>3.8194444444444441E-2</v>
      </c>
      <c r="E24" s="3">
        <v>4352</v>
      </c>
      <c r="F24" s="2">
        <f>'Scrims Day 1'!E24-'Game Start Times'!$C$4</f>
        <v>610</v>
      </c>
      <c r="G24" t="s">
        <v>5</v>
      </c>
      <c r="J24" t="s">
        <v>27</v>
      </c>
    </row>
    <row r="25" spans="1:10" x14ac:dyDescent="0.3">
      <c r="A25">
        <v>3</v>
      </c>
      <c r="B25">
        <v>2</v>
      </c>
      <c r="C25" t="s">
        <v>7</v>
      </c>
      <c r="D25" s="1">
        <v>6.9444444444444441E-3</v>
      </c>
      <c r="E25" s="3">
        <v>4394</v>
      </c>
      <c r="F25" s="2">
        <f>'Scrims Day 1'!E25-'Game Start Times'!$C$4</f>
        <v>652</v>
      </c>
      <c r="G25" t="s">
        <v>5</v>
      </c>
    </row>
    <row r="26" spans="1:10" x14ac:dyDescent="0.3">
      <c r="A26">
        <v>3</v>
      </c>
      <c r="B26">
        <v>3</v>
      </c>
      <c r="C26" t="s">
        <v>5</v>
      </c>
      <c r="D26" s="1">
        <v>8.0555555555555561E-2</v>
      </c>
      <c r="E26" s="3">
        <v>4426</v>
      </c>
      <c r="F26" s="2">
        <f>'Scrims Day 1'!E26-'Game Start Times'!$C$4</f>
        <v>684</v>
      </c>
      <c r="G26" t="s">
        <v>7</v>
      </c>
      <c r="H26" t="s">
        <v>28</v>
      </c>
      <c r="I26" t="s">
        <v>113</v>
      </c>
      <c r="J26" t="s">
        <v>29</v>
      </c>
    </row>
    <row r="27" spans="1:10" x14ac:dyDescent="0.3">
      <c r="A27">
        <v>3</v>
      </c>
      <c r="B27">
        <v>3</v>
      </c>
      <c r="C27" t="s">
        <v>5</v>
      </c>
      <c r="D27" s="1">
        <v>8.0555555555555561E-2</v>
      </c>
      <c r="E27" s="3">
        <v>4426</v>
      </c>
      <c r="F27" s="2">
        <f>'Scrims Day 1'!E27-'Game Start Times'!$C$4</f>
        <v>684</v>
      </c>
      <c r="G27" t="s">
        <v>7</v>
      </c>
      <c r="H27" t="s">
        <v>30</v>
      </c>
      <c r="I27" t="s">
        <v>113</v>
      </c>
      <c r="J27" t="s">
        <v>31</v>
      </c>
    </row>
    <row r="28" spans="1:10" x14ac:dyDescent="0.3">
      <c r="A28">
        <v>3</v>
      </c>
      <c r="B28">
        <v>3</v>
      </c>
      <c r="C28" t="s">
        <v>5</v>
      </c>
      <c r="D28" s="1">
        <v>2.4999999999999998E-2</v>
      </c>
      <c r="E28" s="3">
        <v>4509</v>
      </c>
      <c r="F28" s="2">
        <f>'Scrims Day 1'!E28-'Game Start Times'!$C$4</f>
        <v>767</v>
      </c>
      <c r="G28" t="s">
        <v>5</v>
      </c>
    </row>
    <row r="29" spans="1:10" x14ac:dyDescent="0.3">
      <c r="A29">
        <v>3</v>
      </c>
      <c r="B29">
        <v>3</v>
      </c>
      <c r="C29" t="s">
        <v>5</v>
      </c>
      <c r="D29" s="1">
        <v>2.7777777777777779E-3</v>
      </c>
      <c r="E29" s="3">
        <v>4543</v>
      </c>
      <c r="F29" s="2">
        <f>'Scrims Day 1'!E29-'Game Start Times'!$C$4</f>
        <v>801</v>
      </c>
      <c r="G29" t="s">
        <v>5</v>
      </c>
    </row>
    <row r="30" spans="1:10" x14ac:dyDescent="0.3">
      <c r="A30">
        <v>3</v>
      </c>
      <c r="B30">
        <v>4</v>
      </c>
      <c r="C30" t="s">
        <v>5</v>
      </c>
      <c r="D30" s="1">
        <v>3.3333333333333333E-2</v>
      </c>
      <c r="E30" s="3">
        <v>4651</v>
      </c>
      <c r="F30" s="2">
        <f>'Scrims Day 1'!E30-'Game Start Times'!$C$4</f>
        <v>909</v>
      </c>
      <c r="G30" t="s">
        <v>5</v>
      </c>
    </row>
    <row r="31" spans="1:10" x14ac:dyDescent="0.3">
      <c r="A31">
        <v>3</v>
      </c>
      <c r="B31">
        <v>4</v>
      </c>
      <c r="C31" t="s">
        <v>5</v>
      </c>
      <c r="D31" s="1">
        <v>1.4583333333333332E-2</v>
      </c>
      <c r="E31" s="3">
        <v>4681</v>
      </c>
      <c r="F31" s="2">
        <f>'Scrims Day 1'!E31-'Game Start Times'!$C$4</f>
        <v>939</v>
      </c>
      <c r="G31" t="s">
        <v>7</v>
      </c>
      <c r="H31" t="s">
        <v>32</v>
      </c>
      <c r="I31" t="s">
        <v>26</v>
      </c>
      <c r="J31" t="s">
        <v>33</v>
      </c>
    </row>
    <row r="32" spans="1:10" x14ac:dyDescent="0.3">
      <c r="A32">
        <v>3</v>
      </c>
      <c r="B32">
        <v>4</v>
      </c>
      <c r="C32" t="s">
        <v>5</v>
      </c>
      <c r="D32" s="1">
        <v>1.4583333333333332E-2</v>
      </c>
      <c r="E32" s="3">
        <v>4681</v>
      </c>
      <c r="F32" s="2">
        <f>'Scrims Day 1'!E32-'Game Start Times'!$C$4</f>
        <v>939</v>
      </c>
      <c r="G32" t="s">
        <v>7</v>
      </c>
      <c r="H32" t="s">
        <v>34</v>
      </c>
      <c r="I32" t="s">
        <v>26</v>
      </c>
      <c r="J32" t="s">
        <v>35</v>
      </c>
    </row>
    <row r="33" spans="1:10" x14ac:dyDescent="0.3">
      <c r="A33">
        <v>3</v>
      </c>
      <c r="B33">
        <v>4</v>
      </c>
      <c r="C33" t="s">
        <v>5</v>
      </c>
      <c r="D33" s="1">
        <v>1.4583333333333332E-2</v>
      </c>
      <c r="E33" s="3">
        <v>4681</v>
      </c>
      <c r="F33" s="2">
        <f>'Scrims Day 1'!E33-'Game Start Times'!$C$4</f>
        <v>939</v>
      </c>
      <c r="G33" t="s">
        <v>7</v>
      </c>
      <c r="H33" t="s">
        <v>25</v>
      </c>
      <c r="I33" t="s">
        <v>26</v>
      </c>
    </row>
    <row r="34" spans="1:10" x14ac:dyDescent="0.3">
      <c r="A34">
        <v>3</v>
      </c>
      <c r="B34">
        <v>4</v>
      </c>
      <c r="C34" t="s">
        <v>7</v>
      </c>
      <c r="D34" s="1">
        <v>1.8055555555555557E-2</v>
      </c>
      <c r="E34" s="3">
        <v>4721</v>
      </c>
      <c r="F34" s="2">
        <f>'Scrims Day 1'!E34-'Game Start Times'!$C$4</f>
        <v>979</v>
      </c>
      <c r="G34" t="s">
        <v>5</v>
      </c>
    </row>
    <row r="35" spans="1:10" x14ac:dyDescent="0.3">
      <c r="A35">
        <v>3</v>
      </c>
      <c r="B35">
        <v>4</v>
      </c>
      <c r="C35" t="s">
        <v>7</v>
      </c>
      <c r="D35" s="1">
        <v>0</v>
      </c>
      <c r="E35" s="3">
        <v>4745</v>
      </c>
      <c r="F35" s="2">
        <f>'Scrims Day 1'!E35-'Game Start Times'!$C$4</f>
        <v>1003</v>
      </c>
      <c r="G35" t="s">
        <v>5</v>
      </c>
    </row>
    <row r="36" spans="1:10" x14ac:dyDescent="0.3">
      <c r="A36">
        <v>4</v>
      </c>
      <c r="B36">
        <v>2</v>
      </c>
      <c r="C36" t="s">
        <v>5</v>
      </c>
      <c r="D36" s="1">
        <v>9.0277777777777787E-3</v>
      </c>
      <c r="E36" s="3">
        <v>6045</v>
      </c>
      <c r="F36" s="2">
        <f>'Scrims Day 1'!E36-'Game Start Times'!$C$5</f>
        <v>585</v>
      </c>
      <c r="G36" t="s">
        <v>5</v>
      </c>
      <c r="J36" t="s">
        <v>36</v>
      </c>
    </row>
    <row r="37" spans="1:10" x14ac:dyDescent="0.3">
      <c r="A37">
        <v>4</v>
      </c>
      <c r="B37">
        <v>2</v>
      </c>
      <c r="C37" t="s">
        <v>7</v>
      </c>
      <c r="D37" s="1">
        <v>3.3333333333333333E-2</v>
      </c>
      <c r="E37" s="3">
        <v>6089</v>
      </c>
      <c r="F37" s="2">
        <f>'Scrims Day 1'!E37-'Game Start Times'!$C$5</f>
        <v>629</v>
      </c>
      <c r="G37" t="s">
        <v>5</v>
      </c>
    </row>
    <row r="38" spans="1:10" x14ac:dyDescent="0.3">
      <c r="A38">
        <v>4</v>
      </c>
      <c r="B38">
        <v>2</v>
      </c>
      <c r="C38" t="s">
        <v>7</v>
      </c>
      <c r="D38" s="1">
        <v>1.5972222222222224E-2</v>
      </c>
      <c r="E38" s="3">
        <v>6113</v>
      </c>
      <c r="F38" s="2">
        <f>'Scrims Day 1'!E38-'Game Start Times'!$C$5</f>
        <v>653</v>
      </c>
      <c r="G38" t="s">
        <v>5</v>
      </c>
    </row>
    <row r="39" spans="1:10" x14ac:dyDescent="0.3">
      <c r="A39">
        <v>4</v>
      </c>
      <c r="B39">
        <v>3</v>
      </c>
      <c r="C39" t="s">
        <v>5</v>
      </c>
      <c r="D39" s="1">
        <v>2.9861111111111113E-2</v>
      </c>
      <c r="E39" s="3">
        <v>6230</v>
      </c>
      <c r="F39" s="2">
        <f>'Scrims Day 1'!E39-'Game Start Times'!$C$5</f>
        <v>770</v>
      </c>
      <c r="G39" t="s">
        <v>7</v>
      </c>
      <c r="H39" t="s">
        <v>37</v>
      </c>
      <c r="I39" t="s">
        <v>38</v>
      </c>
    </row>
    <row r="40" spans="1:10" x14ac:dyDescent="0.3">
      <c r="A40">
        <v>4</v>
      </c>
      <c r="B40">
        <v>3</v>
      </c>
      <c r="C40" t="s">
        <v>7</v>
      </c>
      <c r="D40" s="1">
        <v>2.8472222222222222E-2</v>
      </c>
      <c r="E40" s="3">
        <v>6280</v>
      </c>
      <c r="F40" s="2">
        <f>'Scrims Day 1'!E40-'Game Start Times'!$C$5</f>
        <v>820</v>
      </c>
      <c r="G40" t="s">
        <v>7</v>
      </c>
      <c r="H40" t="s">
        <v>13</v>
      </c>
      <c r="I40" t="s">
        <v>14</v>
      </c>
    </row>
    <row r="41" spans="1:10" x14ac:dyDescent="0.3">
      <c r="A41">
        <v>4</v>
      </c>
      <c r="B41">
        <v>3</v>
      </c>
      <c r="C41" t="s">
        <v>7</v>
      </c>
      <c r="D41" s="1">
        <v>2.8472222222222222E-2</v>
      </c>
      <c r="E41" s="3">
        <v>6280</v>
      </c>
      <c r="F41" s="2">
        <f>'Scrims Day 1'!E41-'Game Start Times'!$C$5</f>
        <v>820</v>
      </c>
      <c r="G41" t="s">
        <v>7</v>
      </c>
      <c r="H41" t="s">
        <v>39</v>
      </c>
      <c r="I41" t="s">
        <v>14</v>
      </c>
      <c r="J41" t="s">
        <v>40</v>
      </c>
    </row>
    <row r="42" spans="1:10" x14ac:dyDescent="0.3">
      <c r="A42">
        <v>5</v>
      </c>
      <c r="B42">
        <v>2</v>
      </c>
      <c r="C42" t="s">
        <v>7</v>
      </c>
      <c r="D42" s="1">
        <v>2.9861111111111113E-2</v>
      </c>
      <c r="E42" s="3">
        <v>7759</v>
      </c>
      <c r="F42" s="2">
        <f>'Scrims Day 1'!E42-'Game Start Times'!$C$6</f>
        <v>621</v>
      </c>
      <c r="G42" t="s">
        <v>5</v>
      </c>
    </row>
    <row r="43" spans="1:10" x14ac:dyDescent="0.3">
      <c r="A43">
        <v>5</v>
      </c>
      <c r="B43">
        <v>2</v>
      </c>
      <c r="C43" t="s">
        <v>7</v>
      </c>
      <c r="D43" s="1">
        <v>1.3194444444444444E-2</v>
      </c>
      <c r="E43" s="3">
        <v>7782</v>
      </c>
      <c r="F43" s="2">
        <f>'Scrims Day 1'!E43-'Game Start Times'!$C$6</f>
        <v>644</v>
      </c>
      <c r="G43" t="s">
        <v>7</v>
      </c>
      <c r="H43" t="s">
        <v>41</v>
      </c>
      <c r="I43" t="s">
        <v>38</v>
      </c>
    </row>
    <row r="44" spans="1:10" x14ac:dyDescent="0.3">
      <c r="A44">
        <v>5</v>
      </c>
      <c r="B44">
        <v>3</v>
      </c>
      <c r="C44" t="s">
        <v>5</v>
      </c>
      <c r="D44" s="1">
        <v>9.3055555555555558E-2</v>
      </c>
      <c r="E44" s="3">
        <v>7809</v>
      </c>
      <c r="F44" s="2">
        <f>'Scrims Day 1'!E44-'Game Start Times'!$C$6</f>
        <v>671</v>
      </c>
      <c r="G44" t="s">
        <v>5</v>
      </c>
    </row>
    <row r="45" spans="1:10" x14ac:dyDescent="0.3">
      <c r="A45">
        <v>5</v>
      </c>
      <c r="B45">
        <v>3</v>
      </c>
      <c r="C45" t="s">
        <v>5</v>
      </c>
      <c r="D45" s="1">
        <v>5.2777777777777778E-2</v>
      </c>
      <c r="E45" s="3">
        <v>7868</v>
      </c>
      <c r="F45" s="2">
        <f>'Scrims Day 1'!E45-'Game Start Times'!$C$6</f>
        <v>730</v>
      </c>
      <c r="G45" t="s">
        <v>7</v>
      </c>
      <c r="H45" t="s">
        <v>37</v>
      </c>
      <c r="I45" t="s">
        <v>38</v>
      </c>
    </row>
    <row r="46" spans="1:10" x14ac:dyDescent="0.3">
      <c r="A46">
        <v>5</v>
      </c>
      <c r="B46">
        <v>3</v>
      </c>
      <c r="C46" t="s">
        <v>7</v>
      </c>
      <c r="D46" s="1">
        <v>0</v>
      </c>
      <c r="E46" s="3">
        <v>7988</v>
      </c>
      <c r="F46" s="2">
        <f>'Scrims Day 1'!E46-'Game Start Times'!$C$6</f>
        <v>850</v>
      </c>
      <c r="G46" t="s">
        <v>5</v>
      </c>
      <c r="J46" t="s">
        <v>42</v>
      </c>
    </row>
    <row r="47" spans="1:10" x14ac:dyDescent="0.3">
      <c r="A47">
        <v>5</v>
      </c>
      <c r="B47">
        <v>4</v>
      </c>
      <c r="C47" t="s">
        <v>5</v>
      </c>
      <c r="D47" s="1">
        <v>4.9999999999999996E-2</v>
      </c>
      <c r="E47" s="3">
        <v>8026</v>
      </c>
      <c r="F47" s="2">
        <f>'Scrims Day 1'!E47-'Game Start Times'!$C$6</f>
        <v>888</v>
      </c>
      <c r="G47" t="s">
        <v>5</v>
      </c>
    </row>
    <row r="48" spans="1:10" x14ac:dyDescent="0.3">
      <c r="A48">
        <v>6</v>
      </c>
      <c r="B48">
        <v>1</v>
      </c>
      <c r="C48" t="s">
        <v>7</v>
      </c>
      <c r="D48" s="1">
        <v>5.1388888888888894E-2</v>
      </c>
      <c r="E48" s="2">
        <v>9148</v>
      </c>
      <c r="F48" s="2">
        <f>'Scrims Day 1'!E48-'Game Start Times'!$C$7</f>
        <v>350</v>
      </c>
      <c r="G48" t="s">
        <v>7</v>
      </c>
      <c r="H48" t="s">
        <v>43</v>
      </c>
      <c r="I48" t="s">
        <v>44</v>
      </c>
      <c r="J48" t="s">
        <v>45</v>
      </c>
    </row>
    <row r="49" spans="1:7" x14ac:dyDescent="0.3">
      <c r="A49">
        <v>6</v>
      </c>
      <c r="B49">
        <v>2</v>
      </c>
      <c r="C49" t="s">
        <v>5</v>
      </c>
      <c r="D49" s="1">
        <v>3.1944444444444449E-2</v>
      </c>
      <c r="E49" s="2">
        <v>9348</v>
      </c>
      <c r="F49" s="2">
        <f>'Scrims Day 1'!E49-'Game Start Times'!$C$7</f>
        <v>550</v>
      </c>
      <c r="G49" t="s">
        <v>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C72F9-7BB4-4369-98FE-581E6B7EA461}">
  <sheetPr codeName="Sheet3"/>
  <dimension ref="A1:J38"/>
  <sheetViews>
    <sheetView topLeftCell="A16" workbookViewId="0">
      <selection activeCell="I20" sqref="I20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4.77734375" bestFit="1" customWidth="1"/>
    <col min="9" max="9" width="14.5546875" bestFit="1" customWidth="1"/>
    <col min="10" max="10" width="51.3320312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8.1250000000000003E-2</v>
      </c>
      <c r="E2" s="3">
        <v>787</v>
      </c>
      <c r="F2" s="2">
        <f>'Scrims Day 2'!E2-'Game Start Times'!$C$8</f>
        <v>493</v>
      </c>
      <c r="G2" t="s">
        <v>7</v>
      </c>
      <c r="H2" t="s">
        <v>52</v>
      </c>
      <c r="I2" t="s">
        <v>44</v>
      </c>
    </row>
    <row r="3" spans="1:10" x14ac:dyDescent="0.3">
      <c r="A3">
        <v>1</v>
      </c>
      <c r="B3">
        <v>2</v>
      </c>
      <c r="C3" t="s">
        <v>5</v>
      </c>
      <c r="D3" s="1">
        <v>5.6944444444444443E-2</v>
      </c>
      <c r="E3" s="3">
        <v>819</v>
      </c>
      <c r="F3" s="2">
        <f>'Scrims Day 2'!E3-'Game Start Times'!$C$8</f>
        <v>525</v>
      </c>
      <c r="G3" t="s">
        <v>5</v>
      </c>
      <c r="J3" t="s">
        <v>53</v>
      </c>
    </row>
    <row r="4" spans="1:10" x14ac:dyDescent="0.3">
      <c r="A4">
        <v>1</v>
      </c>
      <c r="B4">
        <v>2</v>
      </c>
      <c r="C4" t="s">
        <v>5</v>
      </c>
      <c r="D4" s="1">
        <v>1.6666666666666666E-2</v>
      </c>
      <c r="E4" s="3">
        <v>880</v>
      </c>
      <c r="F4" s="2">
        <f>'Scrims Day 2'!E4-'Game Start Times'!$C$8</f>
        <v>586</v>
      </c>
      <c r="G4" t="s">
        <v>7</v>
      </c>
      <c r="H4" t="s">
        <v>54</v>
      </c>
      <c r="I4" t="s">
        <v>55</v>
      </c>
      <c r="J4" t="s">
        <v>56</v>
      </c>
    </row>
    <row r="5" spans="1:10" x14ac:dyDescent="0.3">
      <c r="A5">
        <v>1</v>
      </c>
      <c r="B5">
        <v>2</v>
      </c>
      <c r="C5" t="s">
        <v>5</v>
      </c>
      <c r="D5" s="1">
        <v>6.9444444444444447E-4</v>
      </c>
      <c r="E5" s="3">
        <v>901</v>
      </c>
      <c r="F5" s="2">
        <f>'Scrims Day 2'!E5-'Game Start Times'!$C$8</f>
        <v>607</v>
      </c>
      <c r="G5" t="s">
        <v>5</v>
      </c>
    </row>
    <row r="6" spans="1:10" x14ac:dyDescent="0.3">
      <c r="A6">
        <v>1</v>
      </c>
      <c r="B6">
        <v>2</v>
      </c>
      <c r="C6" t="s">
        <v>7</v>
      </c>
      <c r="D6" s="1">
        <v>3.4722222222222224E-2</v>
      </c>
      <c r="E6" s="3">
        <v>926</v>
      </c>
      <c r="F6" s="2">
        <f>'Scrims Day 2'!E6-'Game Start Times'!$C$8</f>
        <v>632</v>
      </c>
      <c r="G6" t="s">
        <v>7</v>
      </c>
      <c r="H6" t="s">
        <v>57</v>
      </c>
      <c r="I6" t="s">
        <v>55</v>
      </c>
    </row>
    <row r="7" spans="1:10" x14ac:dyDescent="0.3">
      <c r="A7">
        <v>1</v>
      </c>
      <c r="B7">
        <v>3</v>
      </c>
      <c r="C7" t="s">
        <v>5</v>
      </c>
      <c r="D7" s="1">
        <v>3.125E-2</v>
      </c>
      <c r="E7" s="3">
        <v>1069</v>
      </c>
      <c r="F7" s="2">
        <f>'Scrims Day 2'!E7-'Game Start Times'!$C$8</f>
        <v>775</v>
      </c>
      <c r="G7" t="s">
        <v>5</v>
      </c>
    </row>
    <row r="8" spans="1:10" x14ac:dyDescent="0.3">
      <c r="A8">
        <v>1</v>
      </c>
      <c r="B8">
        <v>3</v>
      </c>
      <c r="C8" t="s">
        <v>7</v>
      </c>
      <c r="D8" s="1">
        <v>2.7777777777777776E-2</v>
      </c>
      <c r="E8" s="3">
        <v>1124</v>
      </c>
      <c r="F8" s="2">
        <f>'Scrims Day 2'!E8-'Game Start Times'!$C$8</f>
        <v>830</v>
      </c>
      <c r="G8" t="s">
        <v>5</v>
      </c>
    </row>
    <row r="9" spans="1:10" x14ac:dyDescent="0.3">
      <c r="A9">
        <v>2</v>
      </c>
      <c r="B9">
        <v>2</v>
      </c>
      <c r="C9" t="s">
        <v>5</v>
      </c>
      <c r="D9" s="1">
        <v>4.7222222222222221E-2</v>
      </c>
      <c r="E9" s="3">
        <v>2830</v>
      </c>
      <c r="F9" s="2">
        <f>'Scrims Day 2'!E9-'Game Start Times'!$C$9</f>
        <v>523</v>
      </c>
      <c r="G9" t="s">
        <v>7</v>
      </c>
      <c r="H9" t="s">
        <v>39</v>
      </c>
      <c r="I9" t="s">
        <v>14</v>
      </c>
      <c r="J9" t="s">
        <v>16</v>
      </c>
    </row>
    <row r="10" spans="1:10" x14ac:dyDescent="0.3">
      <c r="A10">
        <v>2</v>
      </c>
      <c r="B10">
        <v>2</v>
      </c>
      <c r="C10" t="s">
        <v>5</v>
      </c>
      <c r="D10" s="1">
        <v>3.125E-2</v>
      </c>
      <c r="E10" s="3">
        <v>2856</v>
      </c>
      <c r="F10" s="2">
        <f>'Scrims Day 2'!E10-'Game Start Times'!$C$9</f>
        <v>549</v>
      </c>
      <c r="G10" t="s">
        <v>5</v>
      </c>
    </row>
    <row r="11" spans="1:10" x14ac:dyDescent="0.3">
      <c r="A11">
        <v>3</v>
      </c>
      <c r="B11">
        <v>1</v>
      </c>
      <c r="C11" t="s">
        <v>7</v>
      </c>
      <c r="D11" s="1">
        <v>7.3611111111111113E-2</v>
      </c>
      <c r="E11" s="3">
        <v>4417</v>
      </c>
      <c r="F11" s="2">
        <f>'Scrims Day 2'!E11-'Game Start Times'!$C$10</f>
        <v>316</v>
      </c>
      <c r="G11" t="s">
        <v>7</v>
      </c>
      <c r="H11" t="s">
        <v>58</v>
      </c>
      <c r="I11" t="s">
        <v>55</v>
      </c>
      <c r="J11" t="s">
        <v>59</v>
      </c>
    </row>
    <row r="12" spans="1:10" x14ac:dyDescent="0.3">
      <c r="A12">
        <v>3</v>
      </c>
      <c r="B12">
        <v>1</v>
      </c>
      <c r="C12" t="s">
        <v>7</v>
      </c>
      <c r="D12" s="1">
        <v>5.347222222222222E-2</v>
      </c>
      <c r="E12" s="3">
        <v>4445</v>
      </c>
      <c r="F12" s="2">
        <f>'Scrims Day 2'!E12-'Game Start Times'!$C$10</f>
        <v>344</v>
      </c>
      <c r="G12" t="s">
        <v>5</v>
      </c>
      <c r="J12" t="s">
        <v>60</v>
      </c>
    </row>
    <row r="13" spans="1:10" x14ac:dyDescent="0.3">
      <c r="A13">
        <v>3</v>
      </c>
      <c r="B13">
        <v>1</v>
      </c>
      <c r="C13" t="s">
        <v>7</v>
      </c>
      <c r="D13" s="1">
        <v>2.2222222222222223E-2</v>
      </c>
      <c r="E13" s="3">
        <v>4491</v>
      </c>
      <c r="F13" s="2">
        <f>'Scrims Day 2'!E13-'Game Start Times'!$C$10</f>
        <v>390</v>
      </c>
      <c r="G13" t="s">
        <v>7</v>
      </c>
      <c r="H13" t="s">
        <v>61</v>
      </c>
      <c r="I13" t="s">
        <v>9</v>
      </c>
    </row>
    <row r="14" spans="1:10" x14ac:dyDescent="0.3">
      <c r="A14">
        <v>3</v>
      </c>
      <c r="B14">
        <v>1</v>
      </c>
      <c r="C14" t="s">
        <v>7</v>
      </c>
      <c r="D14" s="1">
        <v>4.8611111111111112E-3</v>
      </c>
      <c r="E14" s="3">
        <v>4516</v>
      </c>
      <c r="F14" s="2">
        <f>'Scrims Day 2'!E14-'Game Start Times'!$C$10</f>
        <v>415</v>
      </c>
      <c r="G14" t="s">
        <v>7</v>
      </c>
      <c r="H14" t="s">
        <v>61</v>
      </c>
      <c r="I14" t="s">
        <v>9</v>
      </c>
    </row>
    <row r="15" spans="1:10" x14ac:dyDescent="0.3">
      <c r="A15">
        <v>3</v>
      </c>
      <c r="B15">
        <v>1</v>
      </c>
      <c r="C15" t="s">
        <v>7</v>
      </c>
      <c r="D15" s="1">
        <v>4.8611111111111112E-3</v>
      </c>
      <c r="E15" s="3">
        <v>4516</v>
      </c>
      <c r="F15" s="2">
        <f>'Scrims Day 2'!E15-'Game Start Times'!$C$10</f>
        <v>415</v>
      </c>
      <c r="G15" t="s">
        <v>7</v>
      </c>
      <c r="H15" t="s">
        <v>62</v>
      </c>
      <c r="I15" t="s">
        <v>9</v>
      </c>
    </row>
    <row r="16" spans="1:10" x14ac:dyDescent="0.3">
      <c r="A16">
        <v>3</v>
      </c>
      <c r="B16">
        <v>2</v>
      </c>
      <c r="C16" t="s">
        <v>7</v>
      </c>
      <c r="D16" s="1">
        <v>3.6805555555555557E-2</v>
      </c>
      <c r="E16" s="3">
        <v>4714</v>
      </c>
      <c r="F16" s="2">
        <f>'Scrims Day 2'!E16-'Game Start Times'!$C$10</f>
        <v>613</v>
      </c>
      <c r="G16" t="s">
        <v>7</v>
      </c>
      <c r="H16" t="s">
        <v>63</v>
      </c>
      <c r="I16" t="s">
        <v>102</v>
      </c>
      <c r="J16" t="s">
        <v>64</v>
      </c>
    </row>
    <row r="17" spans="1:10" x14ac:dyDescent="0.3">
      <c r="A17">
        <v>3</v>
      </c>
      <c r="B17">
        <v>3</v>
      </c>
      <c r="C17" t="s">
        <v>5</v>
      </c>
      <c r="D17" s="1">
        <v>8.5416666666666655E-2</v>
      </c>
      <c r="E17" s="3">
        <v>4784</v>
      </c>
      <c r="F17" s="2">
        <f>'Scrims Day 2'!E17-'Game Start Times'!$C$10</f>
        <v>683</v>
      </c>
      <c r="G17" t="s">
        <v>7</v>
      </c>
      <c r="H17" t="s">
        <v>61</v>
      </c>
      <c r="I17" t="s">
        <v>9</v>
      </c>
      <c r="J17" t="s">
        <v>6</v>
      </c>
    </row>
    <row r="18" spans="1:10" x14ac:dyDescent="0.3">
      <c r="A18">
        <v>3</v>
      </c>
      <c r="B18">
        <v>3</v>
      </c>
      <c r="C18" t="s">
        <v>5</v>
      </c>
      <c r="D18" s="1">
        <v>6.9444444444444434E-2</v>
      </c>
      <c r="E18" s="3">
        <v>4805</v>
      </c>
      <c r="F18" s="2">
        <f>'Scrims Day 2'!E18-'Game Start Times'!$C$10</f>
        <v>704</v>
      </c>
      <c r="G18" t="s">
        <v>7</v>
      </c>
      <c r="H18" t="s">
        <v>62</v>
      </c>
      <c r="I18" t="s">
        <v>9</v>
      </c>
    </row>
    <row r="19" spans="1:10" x14ac:dyDescent="0.3">
      <c r="A19">
        <v>3</v>
      </c>
      <c r="B19">
        <v>3</v>
      </c>
      <c r="C19" t="s">
        <v>5</v>
      </c>
      <c r="D19" s="1">
        <v>3.6805555555555557E-2</v>
      </c>
      <c r="E19" s="3">
        <v>4853</v>
      </c>
      <c r="F19" s="2">
        <f>'Scrims Day 2'!E19-'Game Start Times'!$C$10</f>
        <v>752</v>
      </c>
      <c r="G19" t="s">
        <v>5</v>
      </c>
    </row>
    <row r="20" spans="1:10" x14ac:dyDescent="0.3">
      <c r="A20">
        <v>3</v>
      </c>
      <c r="B20">
        <v>3</v>
      </c>
      <c r="C20" t="s">
        <v>5</v>
      </c>
      <c r="D20" s="1">
        <v>1.1111111111111112E-2</v>
      </c>
      <c r="E20" s="3">
        <v>4890</v>
      </c>
      <c r="F20" s="2">
        <f>'Scrims Day 2'!E20-'Game Start Times'!$C$10</f>
        <v>789</v>
      </c>
      <c r="G20" t="s">
        <v>7</v>
      </c>
      <c r="H20" t="s">
        <v>65</v>
      </c>
      <c r="I20" t="s">
        <v>102</v>
      </c>
    </row>
    <row r="21" spans="1:10" x14ac:dyDescent="0.3">
      <c r="A21">
        <v>4</v>
      </c>
      <c r="B21">
        <v>3</v>
      </c>
      <c r="C21" t="s">
        <v>5</v>
      </c>
      <c r="D21" s="1">
        <v>6.25E-2</v>
      </c>
      <c r="E21" s="3">
        <v>6626</v>
      </c>
      <c r="F21" s="2">
        <f>'Scrims Day 2'!E21-'Game Start Times'!$C$11</f>
        <v>726</v>
      </c>
      <c r="G21" t="s">
        <v>5</v>
      </c>
      <c r="J21" t="s">
        <v>66</v>
      </c>
    </row>
    <row r="22" spans="1:10" x14ac:dyDescent="0.3">
      <c r="A22">
        <v>4</v>
      </c>
      <c r="B22">
        <v>3</v>
      </c>
      <c r="C22" t="s">
        <v>5</v>
      </c>
      <c r="D22" s="1">
        <v>3.9583333333333331E-2</v>
      </c>
      <c r="E22" s="3">
        <v>6660</v>
      </c>
      <c r="F22" s="2">
        <f>'Scrims Day 2'!E22-'Game Start Times'!$C$11</f>
        <v>760</v>
      </c>
      <c r="G22" t="s">
        <v>5</v>
      </c>
    </row>
    <row r="23" spans="1:10" x14ac:dyDescent="0.3">
      <c r="A23">
        <v>4</v>
      </c>
      <c r="B23">
        <v>3</v>
      </c>
      <c r="C23" t="s">
        <v>5</v>
      </c>
      <c r="D23" s="1">
        <v>1.2499999999999999E-2</v>
      </c>
      <c r="E23" s="3">
        <v>6696</v>
      </c>
      <c r="F23" s="2">
        <f>'Scrims Day 2'!E23-'Game Start Times'!$C$11</f>
        <v>796</v>
      </c>
      <c r="G23" t="s">
        <v>5</v>
      </c>
    </row>
    <row r="24" spans="1:10" x14ac:dyDescent="0.3">
      <c r="A24">
        <v>4</v>
      </c>
      <c r="B24">
        <v>3</v>
      </c>
      <c r="C24" t="s">
        <v>7</v>
      </c>
      <c r="D24" s="1">
        <v>1.9444444444444445E-2</v>
      </c>
      <c r="E24" s="3">
        <v>6737</v>
      </c>
      <c r="F24" s="2">
        <f>'Scrims Day 2'!E24-'Game Start Times'!$C$11</f>
        <v>837</v>
      </c>
      <c r="G24" t="s">
        <v>7</v>
      </c>
      <c r="H24" t="s">
        <v>39</v>
      </c>
      <c r="I24" t="s">
        <v>14</v>
      </c>
    </row>
    <row r="25" spans="1:10" x14ac:dyDescent="0.3">
      <c r="A25">
        <v>4</v>
      </c>
      <c r="B25">
        <v>3</v>
      </c>
      <c r="C25" t="s">
        <v>7</v>
      </c>
      <c r="D25" s="1">
        <v>6.9444444444444447E-4</v>
      </c>
      <c r="E25" s="3">
        <v>6763</v>
      </c>
      <c r="F25" s="2">
        <f>'Scrims Day 2'!E25-'Game Start Times'!$C$11</f>
        <v>863</v>
      </c>
      <c r="G25" t="s">
        <v>5</v>
      </c>
    </row>
    <row r="26" spans="1:10" x14ac:dyDescent="0.3">
      <c r="A26">
        <v>4</v>
      </c>
      <c r="B26">
        <v>4</v>
      </c>
      <c r="C26" t="s">
        <v>5</v>
      </c>
      <c r="D26" s="1">
        <v>6.0416666666666667E-2</v>
      </c>
      <c r="E26" s="3">
        <v>6785</v>
      </c>
      <c r="F26" s="2">
        <f>'Scrims Day 2'!E26-'Game Start Times'!$C$11</f>
        <v>885</v>
      </c>
      <c r="G26" t="s">
        <v>5</v>
      </c>
    </row>
    <row r="27" spans="1:10" x14ac:dyDescent="0.3">
      <c r="A27">
        <v>4</v>
      </c>
      <c r="B27">
        <v>4</v>
      </c>
      <c r="C27" t="s">
        <v>5</v>
      </c>
      <c r="D27" s="1">
        <v>8.3333333333333332E-3</v>
      </c>
      <c r="E27" s="3">
        <v>6860</v>
      </c>
      <c r="F27" s="2">
        <f>'Scrims Day 2'!E27-'Game Start Times'!$C$11</f>
        <v>960</v>
      </c>
      <c r="G27" t="s">
        <v>5</v>
      </c>
    </row>
    <row r="28" spans="1:10" x14ac:dyDescent="0.3">
      <c r="A28">
        <v>4</v>
      </c>
      <c r="B28">
        <v>4</v>
      </c>
      <c r="C28" t="s">
        <v>7</v>
      </c>
      <c r="D28" s="1">
        <v>7.6388888888888886E-3</v>
      </c>
      <c r="E28" s="3">
        <v>6907</v>
      </c>
      <c r="F28" s="2">
        <f>'Scrims Day 2'!E28-'Game Start Times'!$C$11</f>
        <v>1007</v>
      </c>
      <c r="G28" t="s">
        <v>5</v>
      </c>
    </row>
    <row r="29" spans="1:10" x14ac:dyDescent="0.3">
      <c r="A29">
        <v>4</v>
      </c>
      <c r="B29">
        <v>5</v>
      </c>
      <c r="C29" t="s">
        <v>5</v>
      </c>
      <c r="D29" s="1">
        <v>4.7916666666666663E-2</v>
      </c>
      <c r="E29" s="3">
        <v>6943</v>
      </c>
      <c r="F29" s="2">
        <f>'Scrims Day 2'!E29-'Game Start Times'!$C$11</f>
        <v>1043</v>
      </c>
      <c r="G29" t="s">
        <v>5</v>
      </c>
    </row>
    <row r="30" spans="1:10" x14ac:dyDescent="0.3">
      <c r="A30">
        <v>4</v>
      </c>
      <c r="B30">
        <v>5</v>
      </c>
      <c r="C30" t="s">
        <v>7</v>
      </c>
      <c r="D30" s="1">
        <v>1.2499999999999999E-2</v>
      </c>
      <c r="E30" s="3">
        <v>7039</v>
      </c>
      <c r="F30" s="2">
        <f>'Scrims Day 2'!E30-'Game Start Times'!$C$11</f>
        <v>1139</v>
      </c>
      <c r="G30" t="s">
        <v>5</v>
      </c>
    </row>
    <row r="31" spans="1:10" x14ac:dyDescent="0.3">
      <c r="A31">
        <v>5</v>
      </c>
      <c r="B31">
        <v>1</v>
      </c>
      <c r="C31" t="s">
        <v>7</v>
      </c>
      <c r="D31" s="1">
        <v>6.9444444444444447E-4</v>
      </c>
      <c r="E31" s="3">
        <v>8584</v>
      </c>
      <c r="F31" s="2">
        <f>'Scrims Day 2'!E31-'Game Start Times'!$C$12</f>
        <v>414</v>
      </c>
      <c r="G31" t="s">
        <v>5</v>
      </c>
    </row>
    <row r="32" spans="1:10" x14ac:dyDescent="0.3">
      <c r="A32">
        <v>5</v>
      </c>
      <c r="B32">
        <v>2</v>
      </c>
      <c r="C32" t="s">
        <v>5</v>
      </c>
      <c r="D32" s="1">
        <v>9.930555555555555E-2</v>
      </c>
      <c r="E32" s="3">
        <v>8611</v>
      </c>
      <c r="F32" s="2">
        <f>'Scrims Day 2'!E32-'Game Start Times'!$C$12</f>
        <v>441</v>
      </c>
      <c r="G32" t="s">
        <v>5</v>
      </c>
    </row>
    <row r="33" spans="1:10" x14ac:dyDescent="0.3">
      <c r="A33">
        <v>5</v>
      </c>
      <c r="B33">
        <v>3</v>
      </c>
      <c r="C33" t="s">
        <v>5</v>
      </c>
      <c r="D33" s="1">
        <v>7.3611111111111113E-2</v>
      </c>
      <c r="E33" s="3">
        <v>8859</v>
      </c>
      <c r="F33" s="2">
        <f>'Scrims Day 2'!E33-'Game Start Times'!$C$12</f>
        <v>689</v>
      </c>
      <c r="G33" t="s">
        <v>5</v>
      </c>
      <c r="J33" t="s">
        <v>67</v>
      </c>
    </row>
    <row r="34" spans="1:10" x14ac:dyDescent="0.3">
      <c r="A34">
        <v>5</v>
      </c>
      <c r="B34">
        <v>3</v>
      </c>
      <c r="C34" t="s">
        <v>5</v>
      </c>
      <c r="D34" s="1">
        <v>5.6250000000000001E-2</v>
      </c>
      <c r="E34" s="3">
        <v>8885</v>
      </c>
      <c r="F34" s="2">
        <f>'Scrims Day 2'!E34-'Game Start Times'!$C$12</f>
        <v>715</v>
      </c>
      <c r="G34" t="s">
        <v>5</v>
      </c>
    </row>
    <row r="35" spans="1:10" x14ac:dyDescent="0.3">
      <c r="A35">
        <v>5</v>
      </c>
      <c r="B35">
        <v>3</v>
      </c>
      <c r="C35" t="s">
        <v>5</v>
      </c>
      <c r="D35" s="1">
        <v>3.8194444444444441E-2</v>
      </c>
      <c r="E35" s="3">
        <v>8909</v>
      </c>
      <c r="F35" s="2">
        <f>'Scrims Day 2'!E35-'Game Start Times'!$C$12</f>
        <v>739</v>
      </c>
      <c r="G35" t="s">
        <v>7</v>
      </c>
      <c r="H35" t="s">
        <v>34</v>
      </c>
      <c r="I35" t="s">
        <v>26</v>
      </c>
    </row>
    <row r="36" spans="1:10" x14ac:dyDescent="0.3">
      <c r="A36">
        <v>5</v>
      </c>
      <c r="B36">
        <v>4</v>
      </c>
      <c r="C36" t="s">
        <v>5</v>
      </c>
      <c r="D36" s="1">
        <v>3.4027777777777775E-2</v>
      </c>
      <c r="E36" s="3">
        <v>9073</v>
      </c>
      <c r="F36" s="2">
        <f>'Scrims Day 2'!E36-'Game Start Times'!$C$12</f>
        <v>903</v>
      </c>
      <c r="G36" t="s">
        <v>7</v>
      </c>
      <c r="H36" t="s">
        <v>68</v>
      </c>
      <c r="I36" t="s">
        <v>69</v>
      </c>
    </row>
    <row r="37" spans="1:10" x14ac:dyDescent="0.3">
      <c r="A37">
        <v>6</v>
      </c>
      <c r="B37">
        <v>1</v>
      </c>
      <c r="C37" t="s">
        <v>7</v>
      </c>
      <c r="D37" s="1">
        <v>0.14791666666666667</v>
      </c>
      <c r="E37" s="3">
        <v>10318</v>
      </c>
      <c r="F37" s="2">
        <f>'Scrims Day 2'!E37-'Game Start Times'!$C$13</f>
        <v>211</v>
      </c>
      <c r="G37" t="s">
        <v>5</v>
      </c>
    </row>
    <row r="38" spans="1:10" x14ac:dyDescent="0.3">
      <c r="A38">
        <v>6</v>
      </c>
      <c r="B38">
        <v>2</v>
      </c>
      <c r="C38" t="s">
        <v>7</v>
      </c>
      <c r="D38" s="1">
        <v>8.4027777777777771E-2</v>
      </c>
      <c r="E38" s="3">
        <v>10410</v>
      </c>
      <c r="F38" s="2">
        <f>'Scrims Day 2'!E38-'Game Start Times'!$C$13</f>
        <v>303</v>
      </c>
      <c r="G38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2B11A-C63F-4050-BA31-B9AB05D5E6C8}">
  <dimension ref="A1:J31"/>
  <sheetViews>
    <sheetView workbookViewId="0">
      <selection activeCell="J1" sqref="J1:J1048576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5" bestFit="1" customWidth="1"/>
    <col min="9" max="9" width="20.77734375" customWidth="1"/>
    <col min="10" max="10" width="51" bestFit="1" customWidth="1"/>
    <col min="13" max="13" width="8.55468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0.11041666666666666</v>
      </c>
      <c r="E2" s="3">
        <v>5374</v>
      </c>
      <c r="F2" s="2">
        <f>'Scrims Day 3'!E2-'Game Start Times'!$C$14</f>
        <v>445</v>
      </c>
      <c r="G2" t="s">
        <v>5</v>
      </c>
    </row>
    <row r="3" spans="1:10" x14ac:dyDescent="0.3">
      <c r="A3">
        <v>1</v>
      </c>
      <c r="B3">
        <v>2</v>
      </c>
      <c r="C3" t="s">
        <v>5</v>
      </c>
      <c r="D3" s="1">
        <v>2.4305555555555556E-2</v>
      </c>
      <c r="E3" s="3">
        <v>5503</v>
      </c>
      <c r="F3" s="2">
        <f>'Scrims Day 3'!E3-'Game Start Times'!$C$14</f>
        <v>574</v>
      </c>
      <c r="G3" t="s">
        <v>7</v>
      </c>
      <c r="H3" t="s">
        <v>39</v>
      </c>
      <c r="I3" t="s">
        <v>14</v>
      </c>
    </row>
    <row r="4" spans="1:10" x14ac:dyDescent="0.3">
      <c r="A4">
        <v>1</v>
      </c>
      <c r="B4">
        <v>2</v>
      </c>
      <c r="C4" t="s">
        <v>5</v>
      </c>
      <c r="D4" s="1">
        <v>2.4305555555555556E-2</v>
      </c>
      <c r="E4" s="3">
        <v>5503</v>
      </c>
      <c r="F4" s="2">
        <f>'Scrims Day 3'!E4-'Game Start Times'!$C$14</f>
        <v>574</v>
      </c>
      <c r="G4" t="s">
        <v>7</v>
      </c>
      <c r="H4" t="s">
        <v>13</v>
      </c>
      <c r="I4" t="s">
        <v>14</v>
      </c>
    </row>
    <row r="5" spans="1:10" x14ac:dyDescent="0.3">
      <c r="A5">
        <v>2</v>
      </c>
      <c r="B5">
        <v>2</v>
      </c>
      <c r="C5" t="s">
        <v>5</v>
      </c>
      <c r="D5" s="1">
        <v>6.25E-2</v>
      </c>
      <c r="E5" s="3">
        <v>7304</v>
      </c>
      <c r="F5" s="2">
        <f>'Scrims Day 3'!E5-'Game Start Times'!$C$15</f>
        <v>499</v>
      </c>
      <c r="G5" t="s">
        <v>5</v>
      </c>
      <c r="J5" t="s">
        <v>70</v>
      </c>
    </row>
    <row r="6" spans="1:10" x14ac:dyDescent="0.3">
      <c r="A6">
        <v>2</v>
      </c>
      <c r="B6">
        <v>2</v>
      </c>
      <c r="C6" t="s">
        <v>5</v>
      </c>
      <c r="D6" s="1">
        <v>2.9166666666666664E-2</v>
      </c>
      <c r="E6" s="3">
        <v>7350</v>
      </c>
      <c r="F6" s="2">
        <f>'Scrims Day 3'!E6-'Game Start Times'!$C$15</f>
        <v>545</v>
      </c>
      <c r="G6" t="s">
        <v>5</v>
      </c>
    </row>
    <row r="7" spans="1:10" x14ac:dyDescent="0.3">
      <c r="A7">
        <v>2</v>
      </c>
      <c r="B7">
        <v>3</v>
      </c>
      <c r="C7" t="s">
        <v>7</v>
      </c>
      <c r="D7" s="1">
        <v>1.1111111111111112E-2</v>
      </c>
      <c r="E7" s="3">
        <v>7638</v>
      </c>
      <c r="F7" s="2">
        <f>'Scrims Day 3'!E7-'Game Start Times'!$C$15</f>
        <v>833</v>
      </c>
      <c r="G7" t="s">
        <v>7</v>
      </c>
      <c r="H7" t="s">
        <v>30</v>
      </c>
      <c r="I7" t="s">
        <v>113</v>
      </c>
      <c r="J7" t="s">
        <v>71</v>
      </c>
    </row>
    <row r="8" spans="1:10" x14ac:dyDescent="0.3">
      <c r="A8">
        <v>5</v>
      </c>
      <c r="B8">
        <v>2</v>
      </c>
      <c r="C8" t="s">
        <v>7</v>
      </c>
      <c r="D8" s="1">
        <v>8.6111111111111124E-2</v>
      </c>
      <c r="E8" s="3">
        <v>12535</v>
      </c>
      <c r="F8" s="2">
        <f>'Scrims Day 3'!E8-'Game Start Times'!$C$16</f>
        <v>300</v>
      </c>
      <c r="G8" t="s">
        <v>5</v>
      </c>
    </row>
    <row r="9" spans="1:10" x14ac:dyDescent="0.3">
      <c r="A9">
        <v>5</v>
      </c>
      <c r="B9">
        <v>2</v>
      </c>
      <c r="C9" t="s">
        <v>7</v>
      </c>
      <c r="D9" s="1">
        <v>5.347222222222222E-2</v>
      </c>
      <c r="E9" s="3">
        <v>12581</v>
      </c>
      <c r="F9" s="2">
        <f>'Scrims Day 3'!E9-'Game Start Times'!$C$16</f>
        <v>346</v>
      </c>
      <c r="G9" t="s">
        <v>5</v>
      </c>
      <c r="J9" t="s">
        <v>72</v>
      </c>
    </row>
    <row r="10" spans="1:10" x14ac:dyDescent="0.3">
      <c r="A10">
        <v>6</v>
      </c>
      <c r="B10">
        <v>1</v>
      </c>
      <c r="C10" t="s">
        <v>7</v>
      </c>
      <c r="D10" s="1">
        <v>5.9722222222222225E-2</v>
      </c>
      <c r="E10" s="3">
        <v>14372</v>
      </c>
      <c r="F10" s="2">
        <f>'Scrims Day 3'!E10-'Game Start Times'!$C$17</f>
        <v>336</v>
      </c>
      <c r="G10" t="s">
        <v>5</v>
      </c>
      <c r="J10" t="s">
        <v>67</v>
      </c>
    </row>
    <row r="11" spans="1:10" x14ac:dyDescent="0.3">
      <c r="A11">
        <v>6</v>
      </c>
      <c r="B11">
        <v>2</v>
      </c>
      <c r="C11" t="s">
        <v>7</v>
      </c>
      <c r="D11" s="1">
        <v>1.8055555555555557E-2</v>
      </c>
      <c r="E11" s="3">
        <v>14674</v>
      </c>
      <c r="F11" s="2">
        <f>'Scrims Day 3'!E11-'Game Start Times'!$C$17</f>
        <v>638</v>
      </c>
      <c r="G11" t="s">
        <v>5</v>
      </c>
      <c r="J11" t="s">
        <v>6</v>
      </c>
    </row>
    <row r="12" spans="1:10" x14ac:dyDescent="0.3">
      <c r="A12">
        <v>6</v>
      </c>
      <c r="B12">
        <v>3</v>
      </c>
      <c r="C12" t="s">
        <v>5</v>
      </c>
      <c r="D12" s="1">
        <v>7.2222222222222229E-2</v>
      </c>
      <c r="E12" s="3">
        <v>14734</v>
      </c>
      <c r="F12" s="2">
        <f>'Scrims Day 3'!E12-'Game Start Times'!$C$17</f>
        <v>698</v>
      </c>
      <c r="G12" t="s">
        <v>7</v>
      </c>
      <c r="H12" t="s">
        <v>8</v>
      </c>
      <c r="I12" t="s">
        <v>9</v>
      </c>
      <c r="J12" t="s">
        <v>73</v>
      </c>
    </row>
    <row r="13" spans="1:10" x14ac:dyDescent="0.3">
      <c r="A13">
        <v>6</v>
      </c>
      <c r="B13">
        <v>3</v>
      </c>
      <c r="C13" t="s">
        <v>5</v>
      </c>
      <c r="D13" s="1">
        <v>7.2222222222222229E-2</v>
      </c>
      <c r="E13" s="3">
        <v>14734</v>
      </c>
      <c r="F13" s="2">
        <f>'Scrims Day 3'!E13-'Game Start Times'!$C$17</f>
        <v>698</v>
      </c>
      <c r="G13" t="s">
        <v>7</v>
      </c>
      <c r="H13" t="s">
        <v>39</v>
      </c>
      <c r="I13" t="s">
        <v>14</v>
      </c>
    </row>
    <row r="14" spans="1:10" x14ac:dyDescent="0.3">
      <c r="A14">
        <v>6</v>
      </c>
      <c r="B14">
        <v>3</v>
      </c>
      <c r="C14" t="s">
        <v>5</v>
      </c>
      <c r="D14" s="1">
        <v>7.2222222222222229E-2</v>
      </c>
      <c r="E14" s="3">
        <v>14734</v>
      </c>
      <c r="F14" s="2">
        <f>'Scrims Day 3'!E14-'Game Start Times'!$C$17</f>
        <v>698</v>
      </c>
      <c r="G14" t="s">
        <v>7</v>
      </c>
      <c r="H14" t="s">
        <v>74</v>
      </c>
      <c r="I14" t="s">
        <v>14</v>
      </c>
    </row>
    <row r="15" spans="1:10" x14ac:dyDescent="0.3">
      <c r="A15">
        <v>6</v>
      </c>
      <c r="B15">
        <v>3</v>
      </c>
      <c r="C15" t="s">
        <v>7</v>
      </c>
      <c r="D15" s="1">
        <v>1.5972222222222224E-2</v>
      </c>
      <c r="E15" s="3">
        <v>14864</v>
      </c>
      <c r="F15" s="2">
        <f>'Scrims Day 3'!E15-'Game Start Times'!$C$17</f>
        <v>828</v>
      </c>
      <c r="G15" t="s">
        <v>5</v>
      </c>
    </row>
    <row r="16" spans="1:10" x14ac:dyDescent="0.3">
      <c r="A16">
        <v>7</v>
      </c>
      <c r="B16">
        <v>2</v>
      </c>
      <c r="C16" t="s">
        <v>5</v>
      </c>
      <c r="D16" s="1">
        <v>2.7777777777777779E-3</v>
      </c>
      <c r="E16" s="3">
        <v>16185</v>
      </c>
      <c r="F16" s="2">
        <f>'Scrims Day 3'!E16-'Game Start Times'!$C$18</f>
        <v>588</v>
      </c>
      <c r="G16" t="s">
        <v>7</v>
      </c>
      <c r="H16" t="s">
        <v>75</v>
      </c>
      <c r="I16" t="s">
        <v>76</v>
      </c>
      <c r="J16" t="s">
        <v>77</v>
      </c>
    </row>
    <row r="17" spans="1:10" x14ac:dyDescent="0.3">
      <c r="A17">
        <v>7</v>
      </c>
      <c r="B17">
        <v>2</v>
      </c>
      <c r="C17" t="s">
        <v>5</v>
      </c>
      <c r="D17" s="1">
        <v>2.7777777777777779E-3</v>
      </c>
      <c r="E17" s="3">
        <v>16185</v>
      </c>
      <c r="F17" s="2">
        <f>'Scrims Day 3'!E17-'Game Start Times'!$C$18</f>
        <v>588</v>
      </c>
      <c r="G17" t="s">
        <v>7</v>
      </c>
      <c r="H17" t="s">
        <v>78</v>
      </c>
      <c r="I17" t="s">
        <v>76</v>
      </c>
    </row>
    <row r="18" spans="1:10" x14ac:dyDescent="0.3">
      <c r="A18">
        <v>7</v>
      </c>
      <c r="B18">
        <v>2</v>
      </c>
      <c r="C18" t="s">
        <v>5</v>
      </c>
      <c r="D18" s="1">
        <v>2.7777777777777779E-3</v>
      </c>
      <c r="E18" s="3">
        <v>16185</v>
      </c>
      <c r="F18" s="2">
        <f>'Scrims Day 3'!E18-'Game Start Times'!$C$18</f>
        <v>588</v>
      </c>
      <c r="G18" t="s">
        <v>7</v>
      </c>
      <c r="H18" t="s">
        <v>79</v>
      </c>
      <c r="I18" t="s">
        <v>76</v>
      </c>
    </row>
    <row r="19" spans="1:10" x14ac:dyDescent="0.3">
      <c r="A19">
        <v>7</v>
      </c>
      <c r="B19">
        <v>2</v>
      </c>
      <c r="C19" t="s">
        <v>7</v>
      </c>
      <c r="D19" s="1">
        <v>1.7361111111111112E-2</v>
      </c>
      <c r="E19" s="3">
        <v>16239</v>
      </c>
      <c r="F19" s="2">
        <f>'Scrims Day 3'!E19-'Game Start Times'!$C$18</f>
        <v>642</v>
      </c>
      <c r="G19" t="s">
        <v>5</v>
      </c>
    </row>
    <row r="20" spans="1:10" x14ac:dyDescent="0.3">
      <c r="A20">
        <v>7</v>
      </c>
      <c r="B20">
        <v>4</v>
      </c>
      <c r="C20" t="s">
        <v>5</v>
      </c>
      <c r="D20" s="1">
        <v>4.1666666666666664E-2</v>
      </c>
      <c r="E20" s="3">
        <v>16497</v>
      </c>
      <c r="F20" s="2">
        <f>'Scrims Day 3'!E20-'Game Start Times'!$C$18</f>
        <v>900</v>
      </c>
      <c r="G20" t="s">
        <v>7</v>
      </c>
      <c r="H20" t="s">
        <v>80</v>
      </c>
      <c r="I20" t="s">
        <v>44</v>
      </c>
      <c r="J20" t="s">
        <v>81</v>
      </c>
    </row>
    <row r="21" spans="1:10" x14ac:dyDescent="0.3">
      <c r="A21">
        <v>8</v>
      </c>
      <c r="B21">
        <v>2</v>
      </c>
      <c r="C21" t="s">
        <v>5</v>
      </c>
      <c r="D21" s="1">
        <v>5.2083333333333336E-2</v>
      </c>
      <c r="E21" s="3">
        <v>18541</v>
      </c>
      <c r="F21" s="2">
        <f>'Scrims Day 3'!E21-'Game Start Times'!$C$19</f>
        <v>512</v>
      </c>
      <c r="G21" t="s">
        <v>5</v>
      </c>
    </row>
    <row r="22" spans="1:10" x14ac:dyDescent="0.3">
      <c r="A22">
        <v>8</v>
      </c>
      <c r="B22">
        <v>2</v>
      </c>
      <c r="C22" t="s">
        <v>5</v>
      </c>
      <c r="D22" s="1">
        <v>2.5694444444444447E-2</v>
      </c>
      <c r="E22" s="3">
        <v>18577</v>
      </c>
      <c r="F22" s="2">
        <f>'Scrims Day 3'!E22-'Game Start Times'!$C$19</f>
        <v>548</v>
      </c>
      <c r="G22" t="s">
        <v>7</v>
      </c>
      <c r="H22" t="s">
        <v>82</v>
      </c>
      <c r="I22" t="s">
        <v>83</v>
      </c>
      <c r="J22" t="s">
        <v>84</v>
      </c>
    </row>
    <row r="23" spans="1:10" x14ac:dyDescent="0.3">
      <c r="A23">
        <v>8</v>
      </c>
      <c r="B23">
        <v>2</v>
      </c>
      <c r="C23" t="s">
        <v>5</v>
      </c>
      <c r="D23" s="1">
        <v>9.0277777777777787E-3</v>
      </c>
      <c r="E23" s="3">
        <v>18602</v>
      </c>
      <c r="F23" s="2">
        <f>'Scrims Day 3'!E23-'Game Start Times'!$C$19</f>
        <v>573</v>
      </c>
      <c r="G23" t="s">
        <v>5</v>
      </c>
    </row>
    <row r="24" spans="1:10" x14ac:dyDescent="0.3">
      <c r="A24">
        <v>8</v>
      </c>
      <c r="B24">
        <v>2</v>
      </c>
      <c r="C24" t="s">
        <v>7</v>
      </c>
      <c r="D24" s="1">
        <v>4.1666666666666664E-2</v>
      </c>
      <c r="E24" s="3">
        <v>18629</v>
      </c>
      <c r="F24" s="2">
        <f>'Scrims Day 3'!E24-'Game Start Times'!$C$19</f>
        <v>600</v>
      </c>
      <c r="G24" t="s">
        <v>5</v>
      </c>
    </row>
    <row r="25" spans="1:10" x14ac:dyDescent="0.3">
      <c r="A25">
        <v>8</v>
      </c>
      <c r="B25">
        <v>2</v>
      </c>
      <c r="C25" t="s">
        <v>7</v>
      </c>
      <c r="D25" s="1">
        <v>1.1805555555555555E-2</v>
      </c>
      <c r="E25" s="3">
        <v>18673</v>
      </c>
      <c r="F25" s="2">
        <f>'Scrims Day 3'!E25-'Game Start Times'!$C$19</f>
        <v>644</v>
      </c>
      <c r="G25" t="s">
        <v>7</v>
      </c>
      <c r="H25" t="s">
        <v>85</v>
      </c>
      <c r="I25" t="s">
        <v>83</v>
      </c>
      <c r="J25" t="s">
        <v>86</v>
      </c>
    </row>
    <row r="26" spans="1:10" x14ac:dyDescent="0.3">
      <c r="A26">
        <v>8</v>
      </c>
      <c r="B26">
        <v>3</v>
      </c>
      <c r="C26" t="s">
        <v>5</v>
      </c>
      <c r="D26" s="1">
        <v>8.5416666666666655E-2</v>
      </c>
      <c r="E26" s="3">
        <v>18707</v>
      </c>
      <c r="F26" s="2">
        <f>'Scrims Day 3'!E26-'Game Start Times'!$C$19</f>
        <v>678</v>
      </c>
      <c r="G26" t="s">
        <v>5</v>
      </c>
    </row>
    <row r="27" spans="1:10" x14ac:dyDescent="0.3">
      <c r="A27">
        <v>8</v>
      </c>
      <c r="B27">
        <v>3</v>
      </c>
      <c r="C27" t="s">
        <v>5</v>
      </c>
      <c r="D27" s="1">
        <v>5.0694444444444452E-2</v>
      </c>
      <c r="E27" s="3">
        <v>18754</v>
      </c>
      <c r="F27" s="2">
        <f>'Scrims Day 3'!E27-'Game Start Times'!$C$19</f>
        <v>725</v>
      </c>
      <c r="G27" t="s">
        <v>5</v>
      </c>
    </row>
    <row r="28" spans="1:10" x14ac:dyDescent="0.3">
      <c r="A28">
        <v>8</v>
      </c>
      <c r="B28">
        <v>3</v>
      </c>
      <c r="C28" t="s">
        <v>5</v>
      </c>
      <c r="D28" s="1">
        <v>2.7083333333333334E-2</v>
      </c>
      <c r="E28" s="3">
        <v>18789</v>
      </c>
      <c r="F28" s="2">
        <f>'Scrims Day 3'!E28-'Game Start Times'!$C$19</f>
        <v>760</v>
      </c>
      <c r="G28" t="s">
        <v>7</v>
      </c>
      <c r="H28" t="s">
        <v>82</v>
      </c>
      <c r="I28" t="s">
        <v>83</v>
      </c>
    </row>
    <row r="29" spans="1:10" x14ac:dyDescent="0.3">
      <c r="A29">
        <v>8</v>
      </c>
      <c r="B29">
        <v>3</v>
      </c>
      <c r="C29" t="s">
        <v>7</v>
      </c>
      <c r="D29" s="1">
        <v>2.7777777777777776E-2</v>
      </c>
      <c r="E29" s="3">
        <v>18835</v>
      </c>
      <c r="F29" s="2">
        <f>'Scrims Day 3'!E29-'Game Start Times'!$C$19</f>
        <v>806</v>
      </c>
      <c r="G29" t="s">
        <v>7</v>
      </c>
      <c r="H29" t="s">
        <v>87</v>
      </c>
      <c r="I29" t="s">
        <v>83</v>
      </c>
    </row>
    <row r="30" spans="1:10" x14ac:dyDescent="0.3">
      <c r="A30">
        <v>8</v>
      </c>
      <c r="B30">
        <v>3</v>
      </c>
      <c r="C30" t="s">
        <v>7</v>
      </c>
      <c r="D30" s="1">
        <v>2.7777777777777776E-2</v>
      </c>
      <c r="E30" s="3">
        <v>18835</v>
      </c>
      <c r="F30" s="2">
        <f>'Scrims Day 3'!E30-'Game Start Times'!$C$19</f>
        <v>806</v>
      </c>
      <c r="G30" t="s">
        <v>7</v>
      </c>
      <c r="H30" t="s">
        <v>82</v>
      </c>
      <c r="I30" t="s">
        <v>83</v>
      </c>
    </row>
    <row r="31" spans="1:10" x14ac:dyDescent="0.3">
      <c r="A31">
        <v>8</v>
      </c>
      <c r="B31">
        <v>3</v>
      </c>
      <c r="C31" t="s">
        <v>7</v>
      </c>
      <c r="D31" s="1">
        <v>6.9444444444444441E-3</v>
      </c>
      <c r="E31" s="3">
        <v>18865</v>
      </c>
      <c r="F31" s="2">
        <f>'Scrims Day 3'!E31-'Game Start Times'!$C$19</f>
        <v>836</v>
      </c>
      <c r="G31" t="s">
        <v>5</v>
      </c>
      <c r="J31" t="s">
        <v>88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1C170-142D-497A-A9EA-DE3D48B42638}">
  <dimension ref="A1:K15"/>
  <sheetViews>
    <sheetView workbookViewId="0">
      <selection activeCell="E7" sqref="E7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3.88671875" bestFit="1" customWidth="1"/>
    <col min="9" max="9" width="23.109375" bestFit="1" customWidth="1"/>
    <col min="10" max="10" width="36.44140625" bestFit="1" customWidth="1"/>
  </cols>
  <sheetData>
    <row r="1" spans="1:11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1" x14ac:dyDescent="0.3">
      <c r="A2">
        <v>6</v>
      </c>
      <c r="B2">
        <v>2</v>
      </c>
      <c r="C2" t="s">
        <v>5</v>
      </c>
      <c r="D2" s="1">
        <v>6.458333333333334E-2</v>
      </c>
      <c r="E2" s="3">
        <v>13259</v>
      </c>
      <c r="F2" s="2">
        <f>'Scrims Day 4'!E2-'Game Start Times'!$C$20</f>
        <v>497</v>
      </c>
      <c r="G2" t="s">
        <v>5</v>
      </c>
      <c r="J2" t="s">
        <v>89</v>
      </c>
    </row>
    <row r="3" spans="1:11" x14ac:dyDescent="0.3">
      <c r="A3">
        <v>6</v>
      </c>
      <c r="B3">
        <v>2</v>
      </c>
      <c r="C3" t="s">
        <v>7</v>
      </c>
      <c r="D3" s="1">
        <v>4.5138888888888888E-2</v>
      </c>
      <c r="E3" s="3">
        <v>13363</v>
      </c>
      <c r="F3" s="2">
        <f>'Scrims Day 4'!E3-'Game Start Times'!$C$20</f>
        <v>601</v>
      </c>
      <c r="G3" t="s">
        <v>5</v>
      </c>
      <c r="J3" t="s">
        <v>90</v>
      </c>
    </row>
    <row r="4" spans="1:11" x14ac:dyDescent="0.3">
      <c r="A4">
        <v>6</v>
      </c>
      <c r="B4">
        <v>3</v>
      </c>
      <c r="C4" t="s">
        <v>5</v>
      </c>
      <c r="D4" s="1">
        <v>5.6250000000000001E-2</v>
      </c>
      <c r="E4" s="3">
        <v>13487</v>
      </c>
      <c r="F4" s="2">
        <f>'Scrims Day 4'!E4-'Game Start Times'!$C$20</f>
        <v>725</v>
      </c>
      <c r="G4" t="s">
        <v>7</v>
      </c>
      <c r="H4" t="s">
        <v>41</v>
      </c>
      <c r="I4" t="s">
        <v>38</v>
      </c>
      <c r="J4" t="s">
        <v>91</v>
      </c>
    </row>
    <row r="5" spans="1:11" x14ac:dyDescent="0.3">
      <c r="A5">
        <v>6</v>
      </c>
      <c r="B5">
        <v>4</v>
      </c>
      <c r="C5" t="s">
        <v>7</v>
      </c>
      <c r="D5" s="1">
        <v>1.8055555555555557E-2</v>
      </c>
      <c r="E5" s="3">
        <v>13740</v>
      </c>
      <c r="F5" s="2">
        <f>'Scrims Day 4'!E5-'Game Start Times'!$C$20</f>
        <v>978</v>
      </c>
      <c r="G5" t="s">
        <v>5</v>
      </c>
      <c r="J5" t="s">
        <v>92</v>
      </c>
    </row>
    <row r="6" spans="1:11" x14ac:dyDescent="0.3">
      <c r="A6">
        <v>6</v>
      </c>
      <c r="B6">
        <v>4</v>
      </c>
      <c r="C6" t="s">
        <v>7</v>
      </c>
      <c r="D6" s="1">
        <v>2.0833333333333333E-3</v>
      </c>
      <c r="E6" s="3">
        <v>13765</v>
      </c>
      <c r="F6" s="2">
        <f>'Scrims Day 4'!E6-'Game Start Times'!$C$20</f>
        <v>1003</v>
      </c>
      <c r="G6" t="s">
        <v>5</v>
      </c>
      <c r="J6" t="s">
        <v>93</v>
      </c>
    </row>
    <row r="7" spans="1:11" x14ac:dyDescent="0.3">
      <c r="A7">
        <v>6</v>
      </c>
      <c r="B7">
        <v>5</v>
      </c>
      <c r="C7" t="s">
        <v>5</v>
      </c>
      <c r="D7" s="1">
        <v>3.1944444444444449E-2</v>
      </c>
      <c r="E7" s="3">
        <v>13817</v>
      </c>
      <c r="F7" s="2">
        <f>'Scrims Day 4'!E7-'Game Start Times'!$C$20</f>
        <v>1055</v>
      </c>
      <c r="G7" t="s">
        <v>7</v>
      </c>
      <c r="H7" t="s">
        <v>24</v>
      </c>
      <c r="I7" t="s">
        <v>20</v>
      </c>
      <c r="J7" t="s">
        <v>94</v>
      </c>
      <c r="K7" t="s">
        <v>148</v>
      </c>
    </row>
    <row r="8" spans="1:11" x14ac:dyDescent="0.3">
      <c r="A8">
        <v>6</v>
      </c>
      <c r="B8">
        <v>5</v>
      </c>
      <c r="C8" t="s">
        <v>5</v>
      </c>
      <c r="D8" s="1">
        <v>1.5277777777777777E-2</v>
      </c>
      <c r="E8" s="3">
        <v>13838</v>
      </c>
      <c r="F8" s="2">
        <f>'Scrims Day 4'!E8-'Game Start Times'!$C$20</f>
        <v>1076</v>
      </c>
      <c r="G8" t="s">
        <v>5</v>
      </c>
    </row>
    <row r="9" spans="1:11" x14ac:dyDescent="0.3">
      <c r="A9">
        <v>6</v>
      </c>
      <c r="B9">
        <v>5</v>
      </c>
      <c r="C9" t="s">
        <v>7</v>
      </c>
      <c r="D9" s="1">
        <v>1.1111111111111112E-2</v>
      </c>
      <c r="E9" s="3">
        <v>13890</v>
      </c>
      <c r="F9" s="2">
        <f>'Scrims Day 4'!E9-'Game Start Times'!$C$20</f>
        <v>1128</v>
      </c>
      <c r="G9" t="s">
        <v>5</v>
      </c>
    </row>
    <row r="10" spans="1:11" x14ac:dyDescent="0.3">
      <c r="A10">
        <v>6</v>
      </c>
      <c r="B10">
        <v>6</v>
      </c>
      <c r="C10" t="s">
        <v>5</v>
      </c>
      <c r="D10" s="1">
        <v>3.6111111111111115E-2</v>
      </c>
      <c r="E10" s="3">
        <v>13916</v>
      </c>
      <c r="F10" s="2">
        <f>'Scrims Day 4'!E10-'Game Start Times'!$C$20</f>
        <v>1154</v>
      </c>
      <c r="G10" t="s">
        <v>5</v>
      </c>
    </row>
    <row r="11" spans="1:11" x14ac:dyDescent="0.3">
      <c r="A11">
        <v>6</v>
      </c>
      <c r="B11">
        <v>6</v>
      </c>
      <c r="C11" t="s">
        <v>5</v>
      </c>
      <c r="D11" s="1">
        <v>1.8055555555555557E-2</v>
      </c>
      <c r="E11" s="3">
        <v>13943</v>
      </c>
      <c r="F11" s="2">
        <f>'Scrims Day 4'!E11-'Game Start Times'!$C$20</f>
        <v>1181</v>
      </c>
      <c r="G11" t="s">
        <v>5</v>
      </c>
      <c r="J11" t="s">
        <v>95</v>
      </c>
    </row>
    <row r="12" spans="1:11" x14ac:dyDescent="0.3">
      <c r="A12">
        <v>6</v>
      </c>
      <c r="B12">
        <v>6</v>
      </c>
      <c r="C12" t="s">
        <v>5</v>
      </c>
      <c r="D12" s="1">
        <v>2.7777777777777779E-3</v>
      </c>
      <c r="E12" s="3">
        <v>13943</v>
      </c>
      <c r="F12" s="2">
        <f>'Scrims Day 4'!E12-'Game Start Times'!$C$20</f>
        <v>1181</v>
      </c>
      <c r="G12" t="s">
        <v>7</v>
      </c>
      <c r="H12" t="s">
        <v>75</v>
      </c>
      <c r="I12" t="s">
        <v>76</v>
      </c>
      <c r="J12" t="s">
        <v>96</v>
      </c>
    </row>
    <row r="13" spans="1:11" x14ac:dyDescent="0.3">
      <c r="A13">
        <v>6</v>
      </c>
      <c r="B13">
        <v>6</v>
      </c>
      <c r="C13" t="s">
        <v>5</v>
      </c>
      <c r="D13" s="1">
        <v>2.7777777777777779E-3</v>
      </c>
      <c r="E13" s="3">
        <v>13943</v>
      </c>
      <c r="F13" s="2">
        <f>'Scrims Day 4'!E13-'Game Start Times'!$C$20</f>
        <v>1181</v>
      </c>
      <c r="G13" t="s">
        <v>7</v>
      </c>
      <c r="H13" t="s">
        <v>78</v>
      </c>
      <c r="I13" t="s">
        <v>76</v>
      </c>
    </row>
    <row r="14" spans="1:11" x14ac:dyDescent="0.3">
      <c r="A14">
        <v>6</v>
      </c>
      <c r="B14">
        <v>6</v>
      </c>
      <c r="C14" t="s">
        <v>5</v>
      </c>
      <c r="D14" s="1">
        <v>2.7777777777777779E-3</v>
      </c>
      <c r="E14" s="3">
        <v>13943</v>
      </c>
      <c r="F14" s="2">
        <f>'Scrims Day 4'!E14-'Game Start Times'!$C$20</f>
        <v>1181</v>
      </c>
      <c r="G14" t="s">
        <v>7</v>
      </c>
      <c r="H14" t="s">
        <v>79</v>
      </c>
      <c r="I14" t="s">
        <v>76</v>
      </c>
    </row>
    <row r="15" spans="1:11" x14ac:dyDescent="0.3">
      <c r="A15">
        <v>6</v>
      </c>
      <c r="B15">
        <v>6</v>
      </c>
      <c r="C15" t="s">
        <v>7</v>
      </c>
      <c r="D15" s="1">
        <v>6.5277777777777782E-2</v>
      </c>
      <c r="E15" s="3">
        <v>14001</v>
      </c>
      <c r="F15" s="2">
        <f>'Scrims Day 4'!E15-'Game Start Times'!$C$20</f>
        <v>1239</v>
      </c>
      <c r="G15" t="s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4668-8907-49D5-9B63-C4BFEC4D602A}">
  <dimension ref="A1:J57"/>
  <sheetViews>
    <sheetView topLeftCell="A41" workbookViewId="0">
      <selection activeCell="F57" sqref="F57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2.88671875" bestFit="1" customWidth="1"/>
    <col min="7" max="7" width="3.77734375" bestFit="1" customWidth="1"/>
    <col min="8" max="8" width="15" bestFit="1" customWidth="1"/>
    <col min="9" max="9" width="20.6640625" bestFit="1" customWidth="1"/>
    <col min="10" max="10" width="54.886718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1</v>
      </c>
      <c r="C2" t="s">
        <v>7</v>
      </c>
      <c r="D2" s="1">
        <v>0.15694444444444444</v>
      </c>
      <c r="E2">
        <v>3243</v>
      </c>
      <c r="F2" s="2">
        <f>'Scrims Day 5'!E2-'Game Start Times'!$C$21</f>
        <v>199</v>
      </c>
      <c r="G2" t="s">
        <v>5</v>
      </c>
      <c r="J2" t="s">
        <v>98</v>
      </c>
    </row>
    <row r="3" spans="1:10" x14ac:dyDescent="0.3">
      <c r="A3">
        <v>1</v>
      </c>
      <c r="B3">
        <v>2</v>
      </c>
      <c r="C3" t="s">
        <v>5</v>
      </c>
      <c r="D3" s="1">
        <v>0</v>
      </c>
      <c r="E3">
        <v>3637</v>
      </c>
      <c r="F3" s="2">
        <f>'Scrims Day 5'!E3-'Game Start Times'!$C$21</f>
        <v>593</v>
      </c>
      <c r="G3" t="s">
        <v>5</v>
      </c>
      <c r="J3" t="s">
        <v>99</v>
      </c>
    </row>
    <row r="4" spans="1:10" x14ac:dyDescent="0.3">
      <c r="A4">
        <v>1</v>
      </c>
      <c r="B4">
        <v>2</v>
      </c>
      <c r="C4" t="s">
        <v>7</v>
      </c>
      <c r="D4" s="1">
        <v>3.4027777777777775E-2</v>
      </c>
      <c r="E4">
        <v>3664</v>
      </c>
      <c r="F4" s="2">
        <f>'Scrims Day 5'!E4-'Game Start Times'!$C$21</f>
        <v>620</v>
      </c>
      <c r="G4" t="s">
        <v>5</v>
      </c>
    </row>
    <row r="5" spans="1:10" x14ac:dyDescent="0.3">
      <c r="A5">
        <v>1</v>
      </c>
      <c r="B5">
        <v>2</v>
      </c>
      <c r="C5" t="s">
        <v>7</v>
      </c>
      <c r="D5" s="1">
        <v>9.0277777777777787E-3</v>
      </c>
      <c r="E5">
        <v>3698</v>
      </c>
      <c r="F5" s="2">
        <f>'Scrims Day 5'!E5-'Game Start Times'!$C$21</f>
        <v>654</v>
      </c>
      <c r="G5" t="s">
        <v>5</v>
      </c>
    </row>
    <row r="6" spans="1:10" x14ac:dyDescent="0.3">
      <c r="A6">
        <v>1</v>
      </c>
      <c r="B6">
        <v>3</v>
      </c>
      <c r="C6" t="s">
        <v>5</v>
      </c>
      <c r="D6" s="1">
        <v>2.361111111111111E-2</v>
      </c>
      <c r="E6">
        <v>3817</v>
      </c>
      <c r="F6" s="2">
        <f>'Scrims Day 5'!E6-'Game Start Times'!$C$21</f>
        <v>773</v>
      </c>
      <c r="G6" t="s">
        <v>5</v>
      </c>
      <c r="J6" t="s">
        <v>100</v>
      </c>
    </row>
    <row r="7" spans="1:10" x14ac:dyDescent="0.3">
      <c r="A7">
        <v>1</v>
      </c>
      <c r="B7">
        <v>3</v>
      </c>
      <c r="C7" t="s">
        <v>7</v>
      </c>
      <c r="D7" s="1">
        <v>6.9444444444444441E-3</v>
      </c>
      <c r="E7">
        <v>3885</v>
      </c>
      <c r="F7" s="2">
        <f>'Scrims Day 5'!E7-'Game Start Times'!$C$21</f>
        <v>841</v>
      </c>
      <c r="G7" t="s">
        <v>7</v>
      </c>
      <c r="H7" t="s">
        <v>101</v>
      </c>
      <c r="I7" t="s">
        <v>102</v>
      </c>
    </row>
    <row r="8" spans="1:10" x14ac:dyDescent="0.3">
      <c r="A8">
        <v>2</v>
      </c>
      <c r="B8">
        <v>2</v>
      </c>
      <c r="C8" t="s">
        <v>5</v>
      </c>
      <c r="D8" s="1">
        <v>4.9999999999999996E-2</v>
      </c>
      <c r="E8">
        <v>5188</v>
      </c>
      <c r="F8" s="2">
        <f>'Scrims Day 5'!E8-'Game Start Times'!$C$22</f>
        <v>529</v>
      </c>
      <c r="G8" t="s">
        <v>5</v>
      </c>
    </row>
    <row r="9" spans="1:10" x14ac:dyDescent="0.3">
      <c r="A9">
        <v>2</v>
      </c>
      <c r="B9">
        <v>2</v>
      </c>
      <c r="C9" t="s">
        <v>5</v>
      </c>
      <c r="D9" s="1">
        <v>3.1944444444444449E-2</v>
      </c>
      <c r="E9">
        <v>5215</v>
      </c>
      <c r="F9" s="2">
        <f>'Scrims Day 5'!E9-'Game Start Times'!$C$22</f>
        <v>556</v>
      </c>
      <c r="G9" t="s">
        <v>7</v>
      </c>
      <c r="H9" t="s">
        <v>62</v>
      </c>
      <c r="I9" t="s">
        <v>9</v>
      </c>
      <c r="J9" t="s">
        <v>6</v>
      </c>
    </row>
    <row r="10" spans="1:10" x14ac:dyDescent="0.3">
      <c r="A10">
        <v>2</v>
      </c>
      <c r="B10">
        <v>2</v>
      </c>
      <c r="C10" t="s">
        <v>5</v>
      </c>
      <c r="D10" s="1">
        <v>0</v>
      </c>
      <c r="E10">
        <v>5261</v>
      </c>
      <c r="F10" s="2">
        <f>'Scrims Day 5'!E10-'Game Start Times'!$C$22</f>
        <v>602</v>
      </c>
      <c r="G10" t="s">
        <v>5</v>
      </c>
    </row>
    <row r="11" spans="1:10" x14ac:dyDescent="0.3">
      <c r="A11">
        <v>2</v>
      </c>
      <c r="B11">
        <v>2</v>
      </c>
      <c r="C11" t="s">
        <v>7</v>
      </c>
      <c r="D11" s="1">
        <v>2.9166666666666664E-2</v>
      </c>
      <c r="E11">
        <v>5291</v>
      </c>
      <c r="F11" s="2">
        <f>'Scrims Day 5'!E11-'Game Start Times'!$C$22</f>
        <v>632</v>
      </c>
      <c r="G11" t="s">
        <v>5</v>
      </c>
    </row>
    <row r="12" spans="1:10" x14ac:dyDescent="0.3">
      <c r="A12">
        <v>2</v>
      </c>
      <c r="B12">
        <v>3</v>
      </c>
      <c r="C12" t="s">
        <v>5</v>
      </c>
      <c r="D12" s="1">
        <v>5.4166666666666669E-2</v>
      </c>
      <c r="E12">
        <v>5395</v>
      </c>
      <c r="F12" s="2">
        <f>'Scrims Day 5'!E12-'Game Start Times'!$C$22</f>
        <v>736</v>
      </c>
      <c r="G12" t="s">
        <v>7</v>
      </c>
      <c r="H12" t="s">
        <v>62</v>
      </c>
      <c r="I12" t="s">
        <v>9</v>
      </c>
    </row>
    <row r="13" spans="1:10" x14ac:dyDescent="0.3">
      <c r="A13">
        <v>3</v>
      </c>
      <c r="B13">
        <v>1</v>
      </c>
      <c r="C13" t="s">
        <v>7</v>
      </c>
      <c r="D13" s="1">
        <v>1.0416666666666666E-2</v>
      </c>
      <c r="E13">
        <v>6689</v>
      </c>
      <c r="F13" s="2">
        <f>'Scrims Day 5'!E13-'Game Start Times'!$C$23</f>
        <v>410</v>
      </c>
      <c r="G13" t="s">
        <v>7</v>
      </c>
      <c r="H13" t="s">
        <v>74</v>
      </c>
      <c r="I13" t="s">
        <v>14</v>
      </c>
      <c r="J13" t="s">
        <v>16</v>
      </c>
    </row>
    <row r="14" spans="1:10" x14ac:dyDescent="0.3">
      <c r="A14">
        <v>3</v>
      </c>
      <c r="B14">
        <v>2</v>
      </c>
      <c r="C14" t="s">
        <v>5</v>
      </c>
      <c r="D14" s="1">
        <v>0.1076388888888889</v>
      </c>
      <c r="E14">
        <v>6720</v>
      </c>
      <c r="F14" s="2">
        <f>'Scrims Day 5'!E14-'Game Start Times'!$C$23</f>
        <v>441</v>
      </c>
      <c r="G14" t="s">
        <v>5</v>
      </c>
    </row>
    <row r="15" spans="1:10" x14ac:dyDescent="0.3">
      <c r="A15">
        <v>3</v>
      </c>
      <c r="B15">
        <v>2</v>
      </c>
      <c r="C15" t="s">
        <v>5</v>
      </c>
      <c r="D15" s="1">
        <v>9.0972222222222218E-2</v>
      </c>
      <c r="E15">
        <v>6747</v>
      </c>
      <c r="F15" s="2">
        <f>'Scrims Day 5'!E15-'Game Start Times'!$C$23</f>
        <v>468</v>
      </c>
      <c r="G15" t="s">
        <v>5</v>
      </c>
    </row>
    <row r="16" spans="1:10" x14ac:dyDescent="0.3">
      <c r="A16">
        <v>3</v>
      </c>
      <c r="B16">
        <v>2</v>
      </c>
      <c r="C16" t="s">
        <v>7</v>
      </c>
      <c r="D16" s="1">
        <v>4.0972222222222222E-2</v>
      </c>
      <c r="E16">
        <v>6889</v>
      </c>
      <c r="F16" s="2">
        <f>'Scrims Day 5'!E16-'Game Start Times'!$C$23</f>
        <v>610</v>
      </c>
      <c r="G16" t="s">
        <v>7</v>
      </c>
      <c r="H16" t="s">
        <v>62</v>
      </c>
      <c r="I16" t="s">
        <v>9</v>
      </c>
      <c r="J16" t="s">
        <v>6</v>
      </c>
    </row>
    <row r="17" spans="1:10" x14ac:dyDescent="0.3">
      <c r="A17">
        <v>3</v>
      </c>
      <c r="B17">
        <v>2</v>
      </c>
      <c r="C17" t="s">
        <v>7</v>
      </c>
      <c r="D17" s="1">
        <v>2.2916666666666669E-2</v>
      </c>
      <c r="E17">
        <v>6916</v>
      </c>
      <c r="F17" s="2">
        <f>'Scrims Day 5'!E17-'Game Start Times'!$C$23</f>
        <v>637</v>
      </c>
      <c r="G17" t="s">
        <v>7</v>
      </c>
      <c r="H17" t="s">
        <v>61</v>
      </c>
      <c r="I17" t="s">
        <v>9</v>
      </c>
    </row>
    <row r="18" spans="1:10" x14ac:dyDescent="0.3">
      <c r="A18">
        <v>3</v>
      </c>
      <c r="B18">
        <v>2</v>
      </c>
      <c r="C18" t="s">
        <v>5</v>
      </c>
      <c r="D18" s="1">
        <v>8.4722222222222213E-2</v>
      </c>
      <c r="E18">
        <v>6966</v>
      </c>
      <c r="F18" s="2">
        <f>'Scrims Day 5'!E18-'Game Start Times'!$C$23</f>
        <v>687</v>
      </c>
      <c r="G18" t="s">
        <v>5</v>
      </c>
    </row>
    <row r="19" spans="1:10" x14ac:dyDescent="0.3">
      <c r="A19">
        <v>4</v>
      </c>
      <c r="B19">
        <v>2</v>
      </c>
      <c r="C19" t="s">
        <v>7</v>
      </c>
      <c r="D19" s="1">
        <v>1.1111111111111112E-2</v>
      </c>
      <c r="E19">
        <v>8687</v>
      </c>
      <c r="F19" s="2">
        <f>'Scrims Day 5'!E19-'Game Start Times'!$C$24</f>
        <v>663</v>
      </c>
      <c r="G19" t="s">
        <v>7</v>
      </c>
      <c r="H19" t="s">
        <v>34</v>
      </c>
      <c r="I19" t="s">
        <v>26</v>
      </c>
    </row>
    <row r="20" spans="1:10" x14ac:dyDescent="0.3">
      <c r="A20">
        <v>4</v>
      </c>
      <c r="B20">
        <v>3</v>
      </c>
      <c r="C20" t="s">
        <v>5</v>
      </c>
      <c r="D20" s="1">
        <v>2.8472222222222222E-2</v>
      </c>
      <c r="E20">
        <v>8800</v>
      </c>
      <c r="F20" s="2">
        <f>'Scrims Day 5'!E20-'Game Start Times'!$C$24</f>
        <v>776</v>
      </c>
      <c r="G20" t="s">
        <v>5</v>
      </c>
      <c r="J20" t="s">
        <v>103</v>
      </c>
    </row>
    <row r="21" spans="1:10" x14ac:dyDescent="0.3">
      <c r="A21">
        <v>4</v>
      </c>
      <c r="B21">
        <v>3</v>
      </c>
      <c r="C21" t="s">
        <v>7</v>
      </c>
      <c r="D21" s="1">
        <v>1.8749999999999999E-2</v>
      </c>
      <c r="E21">
        <v>8861</v>
      </c>
      <c r="F21" s="2">
        <f>'Scrims Day 5'!E21-'Game Start Times'!$C$24</f>
        <v>837</v>
      </c>
      <c r="G21" t="s">
        <v>5</v>
      </c>
    </row>
    <row r="22" spans="1:10" x14ac:dyDescent="0.3">
      <c r="A22">
        <v>4</v>
      </c>
      <c r="B22">
        <v>3</v>
      </c>
      <c r="C22" t="s">
        <v>7</v>
      </c>
      <c r="D22" s="1">
        <v>2.7777777777777779E-3</v>
      </c>
      <c r="E22">
        <v>8885</v>
      </c>
      <c r="F22" s="2">
        <f>'Scrims Day 5'!E22-'Game Start Times'!$C$24</f>
        <v>861</v>
      </c>
      <c r="G22" t="s">
        <v>5</v>
      </c>
    </row>
    <row r="23" spans="1:10" x14ac:dyDescent="0.3">
      <c r="A23">
        <v>4</v>
      </c>
      <c r="B23">
        <v>4</v>
      </c>
      <c r="C23" t="s">
        <v>5</v>
      </c>
      <c r="D23" s="1">
        <v>3.125E-2</v>
      </c>
      <c r="E23">
        <v>8952</v>
      </c>
      <c r="F23" s="2">
        <f>'Scrims Day 5'!E23-'Game Start Times'!$C$24</f>
        <v>928</v>
      </c>
      <c r="G23" t="s">
        <v>5</v>
      </c>
    </row>
    <row r="24" spans="1:10" x14ac:dyDescent="0.3">
      <c r="A24">
        <v>4</v>
      </c>
      <c r="B24">
        <v>4</v>
      </c>
      <c r="C24" t="s">
        <v>7</v>
      </c>
      <c r="D24" s="1">
        <v>2.4305555555555556E-2</v>
      </c>
      <c r="E24">
        <v>9006</v>
      </c>
      <c r="F24" s="2">
        <f>'Scrims Day 5'!E24-'Game Start Times'!$C$24</f>
        <v>982</v>
      </c>
      <c r="G24" t="s">
        <v>7</v>
      </c>
      <c r="H24" t="s">
        <v>79</v>
      </c>
      <c r="I24" t="s">
        <v>76</v>
      </c>
      <c r="J24" t="s">
        <v>104</v>
      </c>
    </row>
    <row r="25" spans="1:10" x14ac:dyDescent="0.3">
      <c r="A25">
        <v>4</v>
      </c>
      <c r="B25">
        <v>5</v>
      </c>
      <c r="C25" t="s">
        <v>7</v>
      </c>
      <c r="D25" s="1">
        <v>1.6666666666666666E-2</v>
      </c>
      <c r="E25">
        <v>9112</v>
      </c>
      <c r="F25" s="2">
        <f>'Scrims Day 5'!E25-'Game Start Times'!$C$24</f>
        <v>1088</v>
      </c>
      <c r="G25" t="s">
        <v>7</v>
      </c>
      <c r="H25" t="s">
        <v>78</v>
      </c>
      <c r="I25" t="s">
        <v>76</v>
      </c>
    </row>
    <row r="26" spans="1:10" x14ac:dyDescent="0.3">
      <c r="A26">
        <v>4</v>
      </c>
      <c r="B26">
        <v>6</v>
      </c>
      <c r="C26" t="s">
        <v>5</v>
      </c>
      <c r="D26" s="1">
        <v>3.2638888888888891E-2</v>
      </c>
      <c r="E26">
        <v>9198</v>
      </c>
      <c r="F26" s="2">
        <f>'Scrims Day 5'!E26-'Game Start Times'!$C$24</f>
        <v>1174</v>
      </c>
      <c r="G26" t="s">
        <v>5</v>
      </c>
      <c r="J26" t="s">
        <v>105</v>
      </c>
    </row>
    <row r="27" spans="1:10" x14ac:dyDescent="0.3">
      <c r="A27">
        <v>4</v>
      </c>
      <c r="B27">
        <v>6</v>
      </c>
      <c r="C27" t="s">
        <v>7</v>
      </c>
      <c r="D27" s="1">
        <v>6.458333333333334E-2</v>
      </c>
      <c r="E27">
        <v>9276</v>
      </c>
      <c r="F27" s="2">
        <f>'Scrims Day 5'!E27-'Game Start Times'!$C$24</f>
        <v>1252</v>
      </c>
      <c r="G27" t="s">
        <v>5</v>
      </c>
    </row>
    <row r="28" spans="1:10" x14ac:dyDescent="0.3">
      <c r="A28">
        <v>4</v>
      </c>
      <c r="B28">
        <v>6</v>
      </c>
      <c r="C28" t="s">
        <v>7</v>
      </c>
      <c r="D28" s="1">
        <v>4.4444444444444446E-2</v>
      </c>
      <c r="E28">
        <v>9303</v>
      </c>
      <c r="F28" s="2">
        <f>'Scrims Day 5'!E28-'Game Start Times'!$C$24</f>
        <v>1279</v>
      </c>
      <c r="G28" t="s">
        <v>7</v>
      </c>
      <c r="H28" t="s">
        <v>85</v>
      </c>
      <c r="I28" t="s">
        <v>83</v>
      </c>
    </row>
    <row r="29" spans="1:10" x14ac:dyDescent="0.3">
      <c r="A29">
        <v>5</v>
      </c>
      <c r="B29">
        <v>2</v>
      </c>
      <c r="C29" t="s">
        <v>5</v>
      </c>
      <c r="D29" s="1">
        <v>5.4166666666666669E-2</v>
      </c>
      <c r="E29">
        <v>10610</v>
      </c>
      <c r="F29" s="2">
        <f>'Scrims Day 5'!E29-'Game Start Times'!$C$25</f>
        <v>516</v>
      </c>
      <c r="G29" t="s">
        <v>5</v>
      </c>
    </row>
    <row r="30" spans="1:10" x14ac:dyDescent="0.3">
      <c r="A30">
        <v>5</v>
      </c>
      <c r="B30">
        <v>3</v>
      </c>
      <c r="C30" t="s">
        <v>5</v>
      </c>
      <c r="D30" s="1">
        <v>5.9027777777777783E-2</v>
      </c>
      <c r="E30">
        <v>10815</v>
      </c>
      <c r="F30" s="2">
        <f>'Scrims Day 5'!E30-'Game Start Times'!$C$25</f>
        <v>721</v>
      </c>
      <c r="G30" t="s">
        <v>5</v>
      </c>
      <c r="J30" t="s">
        <v>81</v>
      </c>
    </row>
    <row r="31" spans="1:10" x14ac:dyDescent="0.3">
      <c r="A31">
        <v>5</v>
      </c>
      <c r="B31">
        <v>3</v>
      </c>
      <c r="C31" t="s">
        <v>5</v>
      </c>
      <c r="D31" s="1">
        <v>4.3750000000000004E-2</v>
      </c>
      <c r="E31">
        <v>10839</v>
      </c>
      <c r="F31" s="2">
        <f>'Scrims Day 5'!E31-'Game Start Times'!$C$25</f>
        <v>745</v>
      </c>
      <c r="G31" t="s">
        <v>5</v>
      </c>
    </row>
    <row r="32" spans="1:10" x14ac:dyDescent="0.3">
      <c r="A32">
        <v>6</v>
      </c>
      <c r="B32">
        <v>1</v>
      </c>
      <c r="C32" t="s">
        <v>7</v>
      </c>
      <c r="D32" s="1">
        <v>4.9305555555555554E-2</v>
      </c>
      <c r="E32">
        <v>12318</v>
      </c>
      <c r="F32" s="2">
        <f>'Scrims Day 5'!E32-'Game Start Times'!$C$26</f>
        <v>363</v>
      </c>
      <c r="G32" t="s">
        <v>5</v>
      </c>
    </row>
    <row r="33" spans="1:10" x14ac:dyDescent="0.3">
      <c r="A33">
        <v>6</v>
      </c>
      <c r="B33">
        <v>1</v>
      </c>
      <c r="C33" t="s">
        <v>7</v>
      </c>
      <c r="D33" s="1">
        <v>3.2638888888888891E-2</v>
      </c>
      <c r="E33">
        <v>12318</v>
      </c>
      <c r="F33" s="2">
        <f>'Scrims Day 5'!E33-'Game Start Times'!$C$26</f>
        <v>363</v>
      </c>
      <c r="G33" t="s">
        <v>5</v>
      </c>
    </row>
    <row r="34" spans="1:10" x14ac:dyDescent="0.3">
      <c r="A34">
        <v>6</v>
      </c>
      <c r="B34">
        <v>2</v>
      </c>
      <c r="C34" t="s">
        <v>5</v>
      </c>
      <c r="D34" s="1">
        <v>5.9027777777777783E-2</v>
      </c>
      <c r="E34">
        <v>12476</v>
      </c>
      <c r="F34" s="2">
        <f>'Scrims Day 5'!E34-'Game Start Times'!$C$26</f>
        <v>521</v>
      </c>
      <c r="G34" t="s">
        <v>7</v>
      </c>
      <c r="H34" t="s">
        <v>106</v>
      </c>
      <c r="I34" t="s">
        <v>107</v>
      </c>
    </row>
    <row r="35" spans="1:10" x14ac:dyDescent="0.3">
      <c r="A35">
        <v>6</v>
      </c>
      <c r="B35">
        <v>2</v>
      </c>
      <c r="C35" t="s">
        <v>5</v>
      </c>
      <c r="D35" s="1">
        <v>2.4999999999999998E-2</v>
      </c>
      <c r="E35">
        <v>12525</v>
      </c>
      <c r="F35" s="2">
        <f>'Scrims Day 5'!E35-'Game Start Times'!$C$26</f>
        <v>570</v>
      </c>
      <c r="G35" t="s">
        <v>7</v>
      </c>
      <c r="H35" t="s">
        <v>106</v>
      </c>
      <c r="I35" t="s">
        <v>107</v>
      </c>
    </row>
    <row r="36" spans="1:10" x14ac:dyDescent="0.3">
      <c r="A36">
        <v>6</v>
      </c>
      <c r="B36">
        <v>2</v>
      </c>
      <c r="C36" t="s">
        <v>5</v>
      </c>
      <c r="D36" s="1">
        <v>2.4999999999999998E-2</v>
      </c>
      <c r="E36">
        <v>12525</v>
      </c>
      <c r="F36" s="2">
        <f>'Scrims Day 5'!E36-'Game Start Times'!$C$26</f>
        <v>570</v>
      </c>
      <c r="G36" t="s">
        <v>7</v>
      </c>
      <c r="H36" t="s">
        <v>108</v>
      </c>
      <c r="I36" t="s">
        <v>107</v>
      </c>
    </row>
    <row r="37" spans="1:10" x14ac:dyDescent="0.3">
      <c r="A37">
        <v>6</v>
      </c>
      <c r="B37">
        <v>2</v>
      </c>
      <c r="C37" t="s">
        <v>5</v>
      </c>
      <c r="D37" s="1">
        <v>9.0277777777777787E-3</v>
      </c>
      <c r="E37">
        <v>12545</v>
      </c>
      <c r="F37" s="2">
        <f>'Scrims Day 5'!E37-'Game Start Times'!$C$26</f>
        <v>590</v>
      </c>
      <c r="G37" t="s">
        <v>7</v>
      </c>
      <c r="H37" t="s">
        <v>106</v>
      </c>
      <c r="I37" t="s">
        <v>107</v>
      </c>
      <c r="J37" t="s">
        <v>109</v>
      </c>
    </row>
    <row r="38" spans="1:10" x14ac:dyDescent="0.3">
      <c r="A38">
        <v>6</v>
      </c>
      <c r="B38">
        <v>2</v>
      </c>
      <c r="C38" t="s">
        <v>5</v>
      </c>
      <c r="D38" s="1">
        <v>9.0277777777777787E-3</v>
      </c>
      <c r="E38">
        <v>12545</v>
      </c>
      <c r="F38" s="2">
        <f>'Scrims Day 5'!E38-'Game Start Times'!$C$26</f>
        <v>590</v>
      </c>
      <c r="G38" t="s">
        <v>7</v>
      </c>
      <c r="H38" t="s">
        <v>108</v>
      </c>
      <c r="I38" t="s">
        <v>107</v>
      </c>
    </row>
    <row r="39" spans="1:10" x14ac:dyDescent="0.3">
      <c r="A39">
        <v>6</v>
      </c>
      <c r="B39">
        <v>2</v>
      </c>
      <c r="C39" t="s">
        <v>5</v>
      </c>
      <c r="D39" s="1">
        <v>9.0277777777777787E-3</v>
      </c>
      <c r="E39">
        <v>12548</v>
      </c>
      <c r="F39" s="2">
        <f>'Scrims Day 5'!E39-'Game Start Times'!$C$26</f>
        <v>593</v>
      </c>
      <c r="G39" t="s">
        <v>7</v>
      </c>
      <c r="H39" t="s">
        <v>110</v>
      </c>
      <c r="I39" t="s">
        <v>111</v>
      </c>
      <c r="J39" t="s">
        <v>112</v>
      </c>
    </row>
    <row r="40" spans="1:10" x14ac:dyDescent="0.3">
      <c r="A40">
        <v>6</v>
      </c>
      <c r="B40">
        <v>3</v>
      </c>
      <c r="C40" t="s">
        <v>5</v>
      </c>
      <c r="D40" s="1">
        <v>8.4027777777777771E-2</v>
      </c>
      <c r="E40">
        <v>12653</v>
      </c>
      <c r="F40" s="2">
        <f>'Scrims Day 5'!E40-'Game Start Times'!$C$26</f>
        <v>698</v>
      </c>
      <c r="G40" t="s">
        <v>5</v>
      </c>
    </row>
    <row r="41" spans="1:10" x14ac:dyDescent="0.3">
      <c r="A41">
        <v>6</v>
      </c>
      <c r="B41">
        <v>3</v>
      </c>
      <c r="C41" t="s">
        <v>5</v>
      </c>
      <c r="D41" s="1">
        <v>6.7361111111111108E-2</v>
      </c>
      <c r="E41">
        <v>12676</v>
      </c>
      <c r="F41" s="2">
        <f>'Scrims Day 5'!E41-'Game Start Times'!$C$26</f>
        <v>721</v>
      </c>
      <c r="G41" t="s">
        <v>7</v>
      </c>
      <c r="H41" t="s">
        <v>87</v>
      </c>
      <c r="I41" t="s">
        <v>83</v>
      </c>
    </row>
    <row r="42" spans="1:10" x14ac:dyDescent="0.3">
      <c r="A42">
        <v>6</v>
      </c>
      <c r="B42">
        <v>3</v>
      </c>
      <c r="C42" t="s">
        <v>7</v>
      </c>
      <c r="D42" s="1">
        <v>1.4583333333333332E-2</v>
      </c>
      <c r="E42">
        <v>12799</v>
      </c>
      <c r="F42" s="2">
        <f>'Scrims Day 5'!E42-'Game Start Times'!$C$26</f>
        <v>844</v>
      </c>
      <c r="G42" t="s">
        <v>5</v>
      </c>
    </row>
    <row r="43" spans="1:10" x14ac:dyDescent="0.3">
      <c r="A43">
        <v>6</v>
      </c>
      <c r="B43">
        <v>4</v>
      </c>
      <c r="C43" t="s">
        <v>5</v>
      </c>
      <c r="D43" s="1">
        <v>5.486111111111111E-2</v>
      </c>
      <c r="E43">
        <v>12850</v>
      </c>
      <c r="F43" s="2">
        <f>'Scrims Day 5'!E43-'Game Start Times'!$C$26</f>
        <v>895</v>
      </c>
      <c r="G43" t="s">
        <v>7</v>
      </c>
      <c r="H43" t="s">
        <v>87</v>
      </c>
      <c r="I43" t="s">
        <v>83</v>
      </c>
    </row>
    <row r="44" spans="1:10" x14ac:dyDescent="0.3">
      <c r="A44">
        <v>6</v>
      </c>
      <c r="B44">
        <v>4</v>
      </c>
      <c r="C44" t="s">
        <v>5</v>
      </c>
      <c r="D44" s="1">
        <v>3.5416666666666666E-2</v>
      </c>
      <c r="E44">
        <v>12877</v>
      </c>
      <c r="F44" s="2">
        <f>'Scrims Day 5'!E44-'Game Start Times'!$C$26</f>
        <v>922</v>
      </c>
      <c r="G44" t="s">
        <v>5</v>
      </c>
    </row>
    <row r="45" spans="1:10" x14ac:dyDescent="0.3">
      <c r="A45">
        <v>7</v>
      </c>
      <c r="B45">
        <v>1</v>
      </c>
      <c r="C45" t="s">
        <v>7</v>
      </c>
      <c r="D45" s="1">
        <v>5.2083333333333336E-2</v>
      </c>
      <c r="E45">
        <v>14025</v>
      </c>
      <c r="F45" s="2">
        <f>'Scrims Day 5'!E45-'Game Start Times'!$C$27</f>
        <v>350</v>
      </c>
      <c r="G45" t="s">
        <v>7</v>
      </c>
      <c r="H45" t="s">
        <v>28</v>
      </c>
      <c r="I45" t="s">
        <v>113</v>
      </c>
    </row>
    <row r="46" spans="1:10" x14ac:dyDescent="0.3">
      <c r="A46">
        <v>7</v>
      </c>
      <c r="B46">
        <v>3</v>
      </c>
      <c r="C46" t="s">
        <v>5</v>
      </c>
      <c r="D46" s="1">
        <v>3.4027777777777775E-2</v>
      </c>
      <c r="E46">
        <v>14432</v>
      </c>
      <c r="F46" s="2">
        <f>'Scrims Day 5'!E46-'Game Start Times'!$C$27</f>
        <v>757</v>
      </c>
      <c r="G46" t="s">
        <v>7</v>
      </c>
      <c r="H46" t="s">
        <v>106</v>
      </c>
      <c r="I46" t="s">
        <v>107</v>
      </c>
    </row>
    <row r="47" spans="1:10" x14ac:dyDescent="0.3">
      <c r="A47">
        <v>7</v>
      </c>
      <c r="B47">
        <v>3</v>
      </c>
      <c r="C47" t="s">
        <v>5</v>
      </c>
      <c r="D47" s="1">
        <v>3.4027777777777775E-2</v>
      </c>
      <c r="E47">
        <v>14432</v>
      </c>
      <c r="F47" s="2">
        <f>'Scrims Day 5'!E47-'Game Start Times'!$C$27</f>
        <v>757</v>
      </c>
      <c r="G47" t="s">
        <v>7</v>
      </c>
      <c r="H47" t="s">
        <v>108</v>
      </c>
      <c r="I47" t="s">
        <v>107</v>
      </c>
    </row>
    <row r="48" spans="1:10" x14ac:dyDescent="0.3">
      <c r="A48">
        <v>7</v>
      </c>
      <c r="B48">
        <v>3</v>
      </c>
      <c r="C48" t="s">
        <v>5</v>
      </c>
      <c r="D48" s="1">
        <v>1.5277777777777777E-2</v>
      </c>
      <c r="E48">
        <v>14458</v>
      </c>
      <c r="F48" s="2">
        <f>'Scrims Day 5'!E48-'Game Start Times'!$C$27</f>
        <v>783</v>
      </c>
      <c r="G48" t="s">
        <v>7</v>
      </c>
      <c r="H48" t="s">
        <v>106</v>
      </c>
      <c r="I48" t="s">
        <v>107</v>
      </c>
    </row>
    <row r="49" spans="1:10" x14ac:dyDescent="0.3">
      <c r="A49">
        <v>7</v>
      </c>
      <c r="B49">
        <v>3</v>
      </c>
      <c r="C49" t="s">
        <v>5</v>
      </c>
      <c r="D49" s="1">
        <v>1.5277777777777777E-2</v>
      </c>
      <c r="E49">
        <v>14458</v>
      </c>
      <c r="F49" s="2">
        <f>'Scrims Day 5'!E49-'Game Start Times'!$C$27</f>
        <v>783</v>
      </c>
      <c r="G49" t="s">
        <v>7</v>
      </c>
      <c r="H49" t="s">
        <v>108</v>
      </c>
      <c r="I49" t="s">
        <v>107</v>
      </c>
    </row>
    <row r="50" spans="1:10" x14ac:dyDescent="0.3">
      <c r="A50">
        <v>7</v>
      </c>
      <c r="B50">
        <v>3</v>
      </c>
      <c r="C50" t="s">
        <v>7</v>
      </c>
      <c r="D50" s="1">
        <v>2.7083333333333334E-2</v>
      </c>
      <c r="E50">
        <v>14490</v>
      </c>
      <c r="F50" s="2">
        <f>'Scrims Day 5'!E50-'Game Start Times'!$C$27</f>
        <v>815</v>
      </c>
      <c r="G50" t="s">
        <v>7</v>
      </c>
      <c r="H50" t="s">
        <v>108</v>
      </c>
      <c r="I50" t="s">
        <v>107</v>
      </c>
    </row>
    <row r="51" spans="1:10" x14ac:dyDescent="0.3">
      <c r="A51">
        <v>7</v>
      </c>
      <c r="B51">
        <v>3</v>
      </c>
      <c r="C51" t="s">
        <v>7</v>
      </c>
      <c r="D51" s="1">
        <v>2.7083333333333334E-2</v>
      </c>
      <c r="E51">
        <v>14490</v>
      </c>
      <c r="F51" s="2">
        <f>'Scrims Day 5'!E51-'Game Start Times'!$C$27</f>
        <v>815</v>
      </c>
      <c r="G51" t="s">
        <v>7</v>
      </c>
      <c r="H51" t="s">
        <v>114</v>
      </c>
      <c r="I51" t="s">
        <v>107</v>
      </c>
    </row>
    <row r="52" spans="1:10" x14ac:dyDescent="0.3">
      <c r="A52">
        <v>7</v>
      </c>
      <c r="B52">
        <v>3</v>
      </c>
      <c r="C52" t="s">
        <v>7</v>
      </c>
      <c r="D52" s="1">
        <v>7.6388888888888886E-3</v>
      </c>
      <c r="E52">
        <v>14519</v>
      </c>
      <c r="F52" s="2">
        <f>'Scrims Day 5'!E52-'Game Start Times'!$C$27</f>
        <v>844</v>
      </c>
      <c r="G52" t="s">
        <v>7</v>
      </c>
      <c r="H52" t="s">
        <v>108</v>
      </c>
      <c r="I52" t="s">
        <v>107</v>
      </c>
    </row>
    <row r="53" spans="1:10" x14ac:dyDescent="0.3">
      <c r="A53">
        <v>7</v>
      </c>
      <c r="B53">
        <v>3</v>
      </c>
      <c r="C53" t="s">
        <v>7</v>
      </c>
      <c r="D53" s="1">
        <v>7.6388888888888886E-3</v>
      </c>
      <c r="E53">
        <v>14519</v>
      </c>
      <c r="F53" s="2">
        <f>'Scrims Day 5'!E53-'Game Start Times'!$C$27</f>
        <v>844</v>
      </c>
      <c r="G53" t="s">
        <v>7</v>
      </c>
      <c r="H53" t="s">
        <v>114</v>
      </c>
      <c r="I53" t="s">
        <v>107</v>
      </c>
      <c r="J53" t="s">
        <v>115</v>
      </c>
    </row>
    <row r="54" spans="1:10" x14ac:dyDescent="0.3">
      <c r="A54">
        <v>7</v>
      </c>
      <c r="B54">
        <v>4</v>
      </c>
      <c r="C54" t="s">
        <v>5</v>
      </c>
      <c r="D54" s="1">
        <v>3.2638888888888891E-2</v>
      </c>
      <c r="E54">
        <v>14590</v>
      </c>
      <c r="F54" s="2">
        <f>'Scrims Day 5'!E54-'Game Start Times'!$C$27</f>
        <v>915</v>
      </c>
      <c r="G54" t="s">
        <v>7</v>
      </c>
      <c r="H54" t="s">
        <v>101</v>
      </c>
      <c r="I54" t="s">
        <v>102</v>
      </c>
    </row>
    <row r="55" spans="1:10" x14ac:dyDescent="0.3">
      <c r="A55">
        <v>7</v>
      </c>
      <c r="B55">
        <v>4</v>
      </c>
      <c r="C55" t="s">
        <v>5</v>
      </c>
      <c r="D55" s="1">
        <v>3.2638888888888891E-2</v>
      </c>
      <c r="E55">
        <v>14590</v>
      </c>
      <c r="F55" s="2">
        <f>'Scrims Day 5'!E55-'Game Start Times'!$C$27</f>
        <v>915</v>
      </c>
      <c r="G55" t="s">
        <v>7</v>
      </c>
      <c r="H55" t="s">
        <v>65</v>
      </c>
      <c r="I55" t="s">
        <v>102</v>
      </c>
    </row>
    <row r="56" spans="1:10" x14ac:dyDescent="0.3">
      <c r="A56">
        <v>7</v>
      </c>
      <c r="B56">
        <v>4</v>
      </c>
      <c r="C56" t="s">
        <v>7</v>
      </c>
      <c r="D56" s="1">
        <v>1.4583333333333332E-2</v>
      </c>
      <c r="E56">
        <v>14663</v>
      </c>
      <c r="F56" s="2">
        <f>'Scrims Day 5'!E56-'Game Start Times'!$C$27</f>
        <v>988</v>
      </c>
      <c r="G56" t="s">
        <v>7</v>
      </c>
      <c r="H56" t="s">
        <v>80</v>
      </c>
      <c r="I56" t="s">
        <v>44</v>
      </c>
    </row>
    <row r="57" spans="1:10" x14ac:dyDescent="0.3">
      <c r="A57">
        <v>7</v>
      </c>
      <c r="B57">
        <v>4</v>
      </c>
      <c r="C57" t="s">
        <v>7</v>
      </c>
      <c r="D57" s="1">
        <v>1.4583333333333332E-2</v>
      </c>
      <c r="E57">
        <v>14663</v>
      </c>
      <c r="F57" s="2">
        <f>'Scrims Day 5'!E57-'Game Start Times'!$C$27</f>
        <v>988</v>
      </c>
      <c r="G57" t="s">
        <v>7</v>
      </c>
      <c r="H57" t="s">
        <v>52</v>
      </c>
      <c r="I57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5585B-E1E2-4357-AE2B-90A9776BE5F0}">
  <dimension ref="A1:J66"/>
  <sheetViews>
    <sheetView topLeftCell="A54" workbookViewId="0">
      <selection activeCell="H64" sqref="H64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2.88671875" bestFit="1" customWidth="1"/>
    <col min="7" max="7" width="3.77734375" bestFit="1" customWidth="1"/>
    <col min="8" max="8" width="14.109375" bestFit="1" customWidth="1"/>
    <col min="9" max="9" width="20.6640625" bestFit="1" customWidth="1"/>
    <col min="10" max="10" width="48.55468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</v>
      </c>
      <c r="E2" s="3">
        <v>1116</v>
      </c>
      <c r="F2" s="2">
        <f>'Scrims Day 6'!E2-'Game Start Times'!$C$28</f>
        <v>598</v>
      </c>
      <c r="G2" t="s">
        <v>7</v>
      </c>
      <c r="H2" t="s">
        <v>25</v>
      </c>
      <c r="I2" t="s">
        <v>26</v>
      </c>
    </row>
    <row r="3" spans="1:10" x14ac:dyDescent="0.3">
      <c r="A3">
        <v>1</v>
      </c>
      <c r="B3">
        <v>2</v>
      </c>
      <c r="C3" t="s">
        <v>7</v>
      </c>
      <c r="D3" s="1">
        <v>1.6666666666666666E-2</v>
      </c>
      <c r="E3" s="3">
        <v>1162</v>
      </c>
      <c r="F3" s="2">
        <f>'Scrims Day 6'!E3-'Game Start Times'!$C$28</f>
        <v>644</v>
      </c>
      <c r="G3" t="s">
        <v>5</v>
      </c>
    </row>
    <row r="4" spans="1:10" x14ac:dyDescent="0.3">
      <c r="A4">
        <v>1</v>
      </c>
      <c r="B4">
        <v>3</v>
      </c>
      <c r="C4" t="s">
        <v>5</v>
      </c>
      <c r="D4" s="1">
        <v>2.4999999999999998E-2</v>
      </c>
      <c r="E4" s="3">
        <v>1289</v>
      </c>
      <c r="F4" s="2">
        <f>'Scrims Day 6'!E4-'Game Start Times'!$C$28</f>
        <v>771</v>
      </c>
      <c r="G4" t="s">
        <v>5</v>
      </c>
    </row>
    <row r="5" spans="1:10" x14ac:dyDescent="0.3">
      <c r="A5">
        <v>1</v>
      </c>
      <c r="B5">
        <v>3</v>
      </c>
      <c r="C5" t="s">
        <v>7</v>
      </c>
      <c r="D5" s="1">
        <v>2.7083333333333334E-2</v>
      </c>
      <c r="E5" s="3">
        <v>1332</v>
      </c>
      <c r="F5" s="2">
        <f>'Scrims Day 6'!E5-'Game Start Times'!$C$28</f>
        <v>814</v>
      </c>
      <c r="G5" t="s">
        <v>5</v>
      </c>
    </row>
    <row r="6" spans="1:10" x14ac:dyDescent="0.3">
      <c r="A6">
        <v>1</v>
      </c>
      <c r="B6">
        <v>3</v>
      </c>
      <c r="C6" t="s">
        <v>7</v>
      </c>
      <c r="D6" s="1">
        <v>7.6388888888888886E-3</v>
      </c>
      <c r="E6" s="3">
        <v>1362</v>
      </c>
      <c r="F6" s="2">
        <f>'Scrims Day 6'!E6-'Game Start Times'!$C$28</f>
        <v>844</v>
      </c>
      <c r="G6" t="s">
        <v>5</v>
      </c>
    </row>
    <row r="7" spans="1:10" x14ac:dyDescent="0.3">
      <c r="A7">
        <v>1</v>
      </c>
      <c r="B7">
        <v>4</v>
      </c>
      <c r="C7" t="s">
        <v>5</v>
      </c>
      <c r="D7" s="1">
        <v>5.2777777777777778E-2</v>
      </c>
      <c r="E7" s="3">
        <v>1404</v>
      </c>
      <c r="F7" s="2">
        <f>'Scrims Day 6'!E7-'Game Start Times'!$C$28</f>
        <v>886</v>
      </c>
      <c r="G7" t="s">
        <v>5</v>
      </c>
    </row>
    <row r="8" spans="1:10" x14ac:dyDescent="0.3">
      <c r="A8">
        <v>1</v>
      </c>
      <c r="B8">
        <v>4</v>
      </c>
      <c r="C8" t="s">
        <v>5</v>
      </c>
      <c r="D8" s="1">
        <v>3.1944444444444449E-2</v>
      </c>
      <c r="E8" s="3">
        <v>1434</v>
      </c>
      <c r="F8" s="2">
        <f>'Scrims Day 6'!E8-'Game Start Times'!$C$28</f>
        <v>916</v>
      </c>
      <c r="G8" t="s">
        <v>5</v>
      </c>
    </row>
    <row r="9" spans="1:10" x14ac:dyDescent="0.3">
      <c r="A9">
        <v>1</v>
      </c>
      <c r="B9">
        <v>4</v>
      </c>
      <c r="C9" t="s">
        <v>7</v>
      </c>
      <c r="D9" s="1">
        <v>1.1111111111111112E-2</v>
      </c>
      <c r="E9" s="3">
        <v>1505</v>
      </c>
      <c r="F9" s="2">
        <f>'Scrims Day 6'!E9-'Game Start Times'!$C$28</f>
        <v>987</v>
      </c>
      <c r="G9" t="s">
        <v>7</v>
      </c>
      <c r="H9" t="s">
        <v>79</v>
      </c>
      <c r="I9" t="s">
        <v>76</v>
      </c>
    </row>
    <row r="10" spans="1:10" x14ac:dyDescent="0.3">
      <c r="A10">
        <v>1</v>
      </c>
      <c r="B10">
        <v>4</v>
      </c>
      <c r="C10" t="s">
        <v>7</v>
      </c>
      <c r="D10" s="1">
        <v>1.1111111111111112E-2</v>
      </c>
      <c r="E10" s="3">
        <v>1505</v>
      </c>
      <c r="F10" s="2">
        <f>'Scrims Day 6'!E10-'Game Start Times'!$C$28</f>
        <v>987</v>
      </c>
      <c r="G10" t="s">
        <v>7</v>
      </c>
      <c r="H10" t="s">
        <v>116</v>
      </c>
      <c r="I10" t="s">
        <v>117</v>
      </c>
      <c r="J10" t="s">
        <v>118</v>
      </c>
    </row>
    <row r="11" spans="1:10" x14ac:dyDescent="0.3">
      <c r="A11">
        <v>1</v>
      </c>
      <c r="B11">
        <v>5</v>
      </c>
      <c r="C11" t="s">
        <v>5</v>
      </c>
      <c r="D11" s="1">
        <v>5.1388888888888894E-2</v>
      </c>
      <c r="E11" s="3">
        <v>1546</v>
      </c>
      <c r="F11" s="2">
        <f>'Scrims Day 6'!E11-'Game Start Times'!$C$28</f>
        <v>1028</v>
      </c>
      <c r="G11" t="s">
        <v>5</v>
      </c>
    </row>
    <row r="12" spans="1:10" x14ac:dyDescent="0.3">
      <c r="A12">
        <v>1</v>
      </c>
      <c r="B12">
        <v>5</v>
      </c>
      <c r="C12" t="s">
        <v>5</v>
      </c>
      <c r="D12" s="1">
        <v>1.5277777777777777E-2</v>
      </c>
      <c r="E12" s="3">
        <v>1596</v>
      </c>
      <c r="F12" s="2">
        <f>'Scrims Day 6'!E12-'Game Start Times'!$C$28</f>
        <v>1078</v>
      </c>
      <c r="G12" t="s">
        <v>7</v>
      </c>
      <c r="H12" t="s">
        <v>37</v>
      </c>
      <c r="I12" t="s">
        <v>38</v>
      </c>
    </row>
    <row r="13" spans="1:10" x14ac:dyDescent="0.3">
      <c r="A13">
        <v>1</v>
      </c>
      <c r="B13">
        <v>5</v>
      </c>
      <c r="C13" t="s">
        <v>5</v>
      </c>
      <c r="D13" s="1">
        <v>1.5277777777777777E-2</v>
      </c>
      <c r="E13" s="3">
        <v>1596</v>
      </c>
      <c r="F13" s="2">
        <f>'Scrims Day 6'!E13-'Game Start Times'!$C$28</f>
        <v>1078</v>
      </c>
      <c r="G13" t="s">
        <v>7</v>
      </c>
      <c r="H13" t="s">
        <v>119</v>
      </c>
      <c r="I13" t="s">
        <v>38</v>
      </c>
    </row>
    <row r="14" spans="1:10" x14ac:dyDescent="0.3">
      <c r="A14">
        <v>2</v>
      </c>
      <c r="B14">
        <v>3</v>
      </c>
      <c r="C14" t="s">
        <v>5</v>
      </c>
      <c r="D14" s="1">
        <v>1.7361111111111112E-2</v>
      </c>
      <c r="E14" s="3">
        <v>3168</v>
      </c>
      <c r="F14" s="2">
        <f>'Scrims Day 6'!E14-'Game Start Times'!$C$29</f>
        <v>789</v>
      </c>
      <c r="G14" t="s">
        <v>7</v>
      </c>
      <c r="H14" t="s">
        <v>120</v>
      </c>
      <c r="I14" t="s">
        <v>121</v>
      </c>
    </row>
    <row r="15" spans="1:10" x14ac:dyDescent="0.3">
      <c r="A15">
        <v>2</v>
      </c>
      <c r="B15">
        <v>4</v>
      </c>
      <c r="C15" t="s">
        <v>5</v>
      </c>
      <c r="D15" s="1">
        <v>6.25E-2</v>
      </c>
      <c r="E15" s="3">
        <v>3256</v>
      </c>
      <c r="F15" s="2">
        <f>'Scrims Day 6'!E15-'Game Start Times'!$C$29</f>
        <v>877</v>
      </c>
      <c r="G15" t="s">
        <v>7</v>
      </c>
      <c r="H15" t="s">
        <v>108</v>
      </c>
      <c r="I15" t="s">
        <v>107</v>
      </c>
      <c r="J15" t="s">
        <v>122</v>
      </c>
    </row>
    <row r="16" spans="1:10" x14ac:dyDescent="0.3">
      <c r="A16">
        <v>2</v>
      </c>
      <c r="B16">
        <v>4</v>
      </c>
      <c r="C16" t="s">
        <v>5</v>
      </c>
      <c r="D16" s="1">
        <v>6.25E-2</v>
      </c>
      <c r="E16" s="3">
        <v>3256</v>
      </c>
      <c r="F16" s="2">
        <f>'Scrims Day 6'!E16-'Game Start Times'!$C$29</f>
        <v>877</v>
      </c>
      <c r="G16" t="s">
        <v>7</v>
      </c>
      <c r="H16" t="s">
        <v>114</v>
      </c>
      <c r="I16" t="s">
        <v>107</v>
      </c>
      <c r="J16" t="s">
        <v>122</v>
      </c>
    </row>
    <row r="17" spans="1:10" x14ac:dyDescent="0.3">
      <c r="A17">
        <v>2</v>
      </c>
      <c r="B17">
        <v>4</v>
      </c>
      <c r="C17" t="s">
        <v>5</v>
      </c>
      <c r="D17" s="1">
        <v>1.3888888888888888E-2</v>
      </c>
      <c r="E17" s="3">
        <v>3328</v>
      </c>
      <c r="F17" s="2">
        <f>'Scrims Day 6'!E17-'Game Start Times'!$C$29</f>
        <v>949</v>
      </c>
      <c r="G17" t="s">
        <v>7</v>
      </c>
      <c r="H17" t="s">
        <v>106</v>
      </c>
      <c r="I17" t="s">
        <v>107</v>
      </c>
      <c r="J17" t="s">
        <v>123</v>
      </c>
    </row>
    <row r="18" spans="1:10" x14ac:dyDescent="0.3">
      <c r="A18">
        <v>2</v>
      </c>
      <c r="B18">
        <v>4</v>
      </c>
      <c r="C18" t="s">
        <v>7</v>
      </c>
      <c r="D18" s="1">
        <v>2.361111111111111E-2</v>
      </c>
      <c r="E18" s="3">
        <v>3357</v>
      </c>
      <c r="F18" s="2">
        <f>'Scrims Day 6'!E18-'Game Start Times'!$C$29</f>
        <v>978</v>
      </c>
      <c r="G18" t="s">
        <v>7</v>
      </c>
      <c r="H18" t="s">
        <v>63</v>
      </c>
      <c r="I18" t="s">
        <v>102</v>
      </c>
      <c r="J18" t="s">
        <v>124</v>
      </c>
    </row>
    <row r="19" spans="1:10" x14ac:dyDescent="0.3">
      <c r="A19">
        <v>2</v>
      </c>
      <c r="B19">
        <v>4</v>
      </c>
      <c r="C19" t="s">
        <v>7</v>
      </c>
      <c r="D19" s="1">
        <v>2.361111111111111E-2</v>
      </c>
      <c r="E19" s="3">
        <v>3357</v>
      </c>
      <c r="F19" s="2">
        <f>'Scrims Day 6'!E19-'Game Start Times'!$C$29</f>
        <v>978</v>
      </c>
      <c r="G19" t="s">
        <v>7</v>
      </c>
      <c r="H19" t="s">
        <v>101</v>
      </c>
      <c r="I19" t="s">
        <v>102</v>
      </c>
    </row>
    <row r="20" spans="1:10" x14ac:dyDescent="0.3">
      <c r="A20">
        <v>2</v>
      </c>
      <c r="B20">
        <v>4</v>
      </c>
      <c r="C20" t="s">
        <v>7</v>
      </c>
      <c r="D20" s="1">
        <v>2.361111111111111E-2</v>
      </c>
      <c r="E20" s="3">
        <v>3357</v>
      </c>
      <c r="F20" s="2">
        <f>'Scrims Day 6'!E20-'Game Start Times'!$C$29</f>
        <v>978</v>
      </c>
      <c r="G20" t="s">
        <v>7</v>
      </c>
      <c r="H20" t="s">
        <v>65</v>
      </c>
      <c r="I20" t="s">
        <v>102</v>
      </c>
    </row>
    <row r="21" spans="1:10" x14ac:dyDescent="0.3">
      <c r="A21">
        <v>2</v>
      </c>
      <c r="B21">
        <v>5</v>
      </c>
      <c r="C21" t="s">
        <v>5</v>
      </c>
      <c r="D21" s="1">
        <v>5.9722222222222225E-2</v>
      </c>
      <c r="E21" s="3">
        <v>3400</v>
      </c>
      <c r="F21" s="2">
        <f>'Scrims Day 6'!E21-'Game Start Times'!$C$29</f>
        <v>1021</v>
      </c>
      <c r="G21" t="s">
        <v>5</v>
      </c>
      <c r="J21" t="s">
        <v>125</v>
      </c>
    </row>
    <row r="22" spans="1:10" x14ac:dyDescent="0.3">
      <c r="A22">
        <v>2</v>
      </c>
      <c r="B22">
        <v>5</v>
      </c>
      <c r="C22" t="s">
        <v>5</v>
      </c>
      <c r="D22" s="1">
        <v>3.6805555555555557E-2</v>
      </c>
      <c r="E22" s="3">
        <v>3431</v>
      </c>
      <c r="F22" s="2">
        <f>'Scrims Day 6'!E22-'Game Start Times'!$C$29</f>
        <v>1052</v>
      </c>
      <c r="G22" t="s">
        <v>7</v>
      </c>
      <c r="H22" t="s">
        <v>17</v>
      </c>
      <c r="I22" t="s">
        <v>18</v>
      </c>
      <c r="J22" t="s">
        <v>126</v>
      </c>
    </row>
    <row r="23" spans="1:10" x14ac:dyDescent="0.3">
      <c r="A23">
        <v>2</v>
      </c>
      <c r="B23">
        <v>5</v>
      </c>
      <c r="C23" t="s">
        <v>5</v>
      </c>
      <c r="D23" s="1">
        <v>3.6805555555555557E-2</v>
      </c>
      <c r="E23" s="3">
        <v>3431</v>
      </c>
      <c r="F23" s="2">
        <f>'Scrims Day 6'!E23-'Game Start Times'!$C$29</f>
        <v>1052</v>
      </c>
      <c r="G23" t="s">
        <v>7</v>
      </c>
      <c r="H23" t="s">
        <v>127</v>
      </c>
      <c r="I23" t="s">
        <v>18</v>
      </c>
      <c r="J23" t="s">
        <v>128</v>
      </c>
    </row>
    <row r="24" spans="1:10" x14ac:dyDescent="0.3">
      <c r="A24">
        <v>2</v>
      </c>
      <c r="B24">
        <v>5</v>
      </c>
      <c r="C24" t="s">
        <v>5</v>
      </c>
      <c r="D24" s="1">
        <v>3.6805555555555557E-2</v>
      </c>
      <c r="E24" s="3">
        <v>3431</v>
      </c>
      <c r="F24" s="2">
        <f>'Scrims Day 6'!E24-'Game Start Times'!$C$29</f>
        <v>1052</v>
      </c>
      <c r="G24" t="s">
        <v>7</v>
      </c>
      <c r="H24" t="s">
        <v>129</v>
      </c>
      <c r="I24" t="s">
        <v>18</v>
      </c>
      <c r="J24" t="s">
        <v>130</v>
      </c>
    </row>
    <row r="25" spans="1:10" x14ac:dyDescent="0.3">
      <c r="A25">
        <v>2</v>
      </c>
      <c r="B25">
        <v>5</v>
      </c>
      <c r="C25" t="s">
        <v>5</v>
      </c>
      <c r="D25" s="1">
        <v>2.7777777777777779E-3</v>
      </c>
      <c r="E25" s="3">
        <v>3483</v>
      </c>
      <c r="F25" s="2">
        <f>'Scrims Day 6'!E25-'Game Start Times'!$C$29</f>
        <v>1104</v>
      </c>
      <c r="G25" t="s">
        <v>7</v>
      </c>
      <c r="H25" t="s">
        <v>65</v>
      </c>
      <c r="I25" t="s">
        <v>102</v>
      </c>
      <c r="J25" t="s">
        <v>131</v>
      </c>
    </row>
    <row r="26" spans="1:10" x14ac:dyDescent="0.3">
      <c r="A26">
        <v>2</v>
      </c>
      <c r="B26">
        <v>5</v>
      </c>
      <c r="C26" t="s">
        <v>7</v>
      </c>
      <c r="D26" s="1">
        <v>9.7222222222222224E-3</v>
      </c>
      <c r="E26" s="3">
        <v>3515</v>
      </c>
      <c r="F26" s="2">
        <f>'Scrims Day 6'!E26-'Game Start Times'!$C$29</f>
        <v>1136</v>
      </c>
      <c r="G26" t="s">
        <v>7</v>
      </c>
      <c r="H26" t="s">
        <v>63</v>
      </c>
      <c r="I26" t="s">
        <v>102</v>
      </c>
    </row>
    <row r="27" spans="1:10" x14ac:dyDescent="0.3">
      <c r="A27">
        <v>2</v>
      </c>
      <c r="B27">
        <v>5</v>
      </c>
      <c r="C27" t="s">
        <v>7</v>
      </c>
      <c r="D27" s="1">
        <v>9.7222222222222224E-3</v>
      </c>
      <c r="E27" s="3">
        <v>3515</v>
      </c>
      <c r="F27" s="2">
        <f>'Scrims Day 6'!E27-'Game Start Times'!$C$29</f>
        <v>1136</v>
      </c>
      <c r="G27" t="s">
        <v>7</v>
      </c>
      <c r="H27" t="s">
        <v>101</v>
      </c>
      <c r="I27" t="s">
        <v>102</v>
      </c>
    </row>
    <row r="28" spans="1:10" x14ac:dyDescent="0.3">
      <c r="A28">
        <v>2</v>
      </c>
      <c r="B28">
        <v>6</v>
      </c>
      <c r="C28" t="s">
        <v>5</v>
      </c>
      <c r="D28" s="1">
        <v>3.7499999999999999E-2</v>
      </c>
      <c r="E28" s="3">
        <v>3541</v>
      </c>
      <c r="F28" s="2">
        <f>'Scrims Day 6'!E28-'Game Start Times'!$C$29</f>
        <v>1162</v>
      </c>
      <c r="G28" t="s">
        <v>7</v>
      </c>
      <c r="H28" t="s">
        <v>63</v>
      </c>
      <c r="I28" t="s">
        <v>102</v>
      </c>
      <c r="J28" t="s">
        <v>132</v>
      </c>
    </row>
    <row r="29" spans="1:10" x14ac:dyDescent="0.3">
      <c r="A29">
        <v>2</v>
      </c>
      <c r="B29">
        <v>6</v>
      </c>
      <c r="C29" t="s">
        <v>5</v>
      </c>
      <c r="D29" s="1">
        <v>3.7499999999999999E-2</v>
      </c>
      <c r="E29" s="3">
        <v>3541</v>
      </c>
      <c r="F29" s="2">
        <f>'Scrims Day 6'!E29-'Game Start Times'!$C$29</f>
        <v>1162</v>
      </c>
      <c r="G29" t="s">
        <v>7</v>
      </c>
      <c r="H29" t="s">
        <v>101</v>
      </c>
      <c r="I29" t="s">
        <v>102</v>
      </c>
    </row>
    <row r="30" spans="1:10" x14ac:dyDescent="0.3">
      <c r="A30">
        <v>2</v>
      </c>
      <c r="B30">
        <v>6</v>
      </c>
      <c r="C30" t="s">
        <v>5</v>
      </c>
      <c r="D30" s="1">
        <v>3.7499999999999999E-2</v>
      </c>
      <c r="E30" s="3">
        <v>3541</v>
      </c>
      <c r="F30" s="2">
        <f>'Scrims Day 6'!E30-'Game Start Times'!$C$29</f>
        <v>1162</v>
      </c>
      <c r="G30" t="s">
        <v>7</v>
      </c>
      <c r="H30" t="s">
        <v>65</v>
      </c>
      <c r="I30" t="s">
        <v>102</v>
      </c>
    </row>
    <row r="31" spans="1:10" x14ac:dyDescent="0.3">
      <c r="A31">
        <v>2</v>
      </c>
      <c r="B31">
        <v>6</v>
      </c>
      <c r="C31" t="s">
        <v>5</v>
      </c>
      <c r="D31" s="1">
        <v>6.2499999999999995E-3</v>
      </c>
      <c r="E31" s="3">
        <v>3585</v>
      </c>
      <c r="F31" s="2">
        <f>'Scrims Day 6'!E31-'Game Start Times'!$C$29</f>
        <v>1206</v>
      </c>
      <c r="G31" t="s">
        <v>5</v>
      </c>
    </row>
    <row r="32" spans="1:10" x14ac:dyDescent="0.3">
      <c r="A32">
        <v>2</v>
      </c>
      <c r="B32">
        <v>6</v>
      </c>
      <c r="C32" t="s">
        <v>7</v>
      </c>
      <c r="D32" s="1">
        <v>7.4999999999999997E-2</v>
      </c>
      <c r="E32" s="3">
        <v>3613</v>
      </c>
      <c r="F32" s="2">
        <f>'Scrims Day 6'!E32-'Game Start Times'!$C$29</f>
        <v>1234</v>
      </c>
      <c r="G32" t="s">
        <v>5</v>
      </c>
    </row>
    <row r="33" spans="1:10" x14ac:dyDescent="0.3">
      <c r="A33">
        <v>3</v>
      </c>
      <c r="B33">
        <v>2</v>
      </c>
      <c r="C33" t="s">
        <v>5</v>
      </c>
      <c r="D33" s="1">
        <v>1.5972222222222224E-2</v>
      </c>
      <c r="E33" s="3">
        <v>4724</v>
      </c>
      <c r="F33" s="2">
        <f>'Scrims Day 6'!E33-'Game Start Times'!$C$30</f>
        <v>574</v>
      </c>
      <c r="G33" t="s">
        <v>7</v>
      </c>
      <c r="H33" t="s">
        <v>116</v>
      </c>
      <c r="I33" t="s">
        <v>117</v>
      </c>
      <c r="J33" t="s">
        <v>133</v>
      </c>
    </row>
    <row r="34" spans="1:10" x14ac:dyDescent="0.3">
      <c r="A34">
        <v>3</v>
      </c>
      <c r="B34">
        <v>2</v>
      </c>
      <c r="C34" t="s">
        <v>5</v>
      </c>
      <c r="D34" s="1">
        <v>1.5972222222222224E-2</v>
      </c>
      <c r="E34" s="3">
        <v>4724</v>
      </c>
      <c r="F34" s="2">
        <f>'Scrims Day 6'!E34-'Game Start Times'!$C$30</f>
        <v>574</v>
      </c>
      <c r="G34" t="s">
        <v>7</v>
      </c>
      <c r="H34" t="s">
        <v>134</v>
      </c>
      <c r="I34" t="s">
        <v>117</v>
      </c>
      <c r="J34" t="s">
        <v>135</v>
      </c>
    </row>
    <row r="35" spans="1:10" x14ac:dyDescent="0.3">
      <c r="A35">
        <v>3</v>
      </c>
      <c r="B35">
        <v>2</v>
      </c>
      <c r="C35" t="s">
        <v>7</v>
      </c>
      <c r="D35" s="1">
        <v>4.027777777777778E-2</v>
      </c>
      <c r="E35" s="3">
        <v>4764</v>
      </c>
      <c r="F35" s="2">
        <f>'Scrims Day 6'!E35-'Game Start Times'!$C$30</f>
        <v>614</v>
      </c>
      <c r="G35" t="s">
        <v>7</v>
      </c>
      <c r="H35" t="s">
        <v>134</v>
      </c>
      <c r="I35" t="s">
        <v>117</v>
      </c>
      <c r="J35" t="s">
        <v>135</v>
      </c>
    </row>
    <row r="36" spans="1:10" x14ac:dyDescent="0.3">
      <c r="A36">
        <v>3</v>
      </c>
      <c r="B36">
        <v>2</v>
      </c>
      <c r="C36" t="s">
        <v>7</v>
      </c>
      <c r="D36" s="1">
        <v>2.1527777777777781E-2</v>
      </c>
      <c r="E36" s="3">
        <v>4790</v>
      </c>
      <c r="F36" s="2">
        <f>'Scrims Day 6'!E36-'Game Start Times'!$C$30</f>
        <v>640</v>
      </c>
      <c r="G36" t="s">
        <v>7</v>
      </c>
      <c r="H36" t="s">
        <v>116</v>
      </c>
      <c r="I36" t="s">
        <v>117</v>
      </c>
      <c r="J36" t="s">
        <v>136</v>
      </c>
    </row>
    <row r="37" spans="1:10" x14ac:dyDescent="0.3">
      <c r="A37">
        <v>3</v>
      </c>
      <c r="B37">
        <v>3</v>
      </c>
      <c r="C37" t="s">
        <v>7</v>
      </c>
      <c r="D37" s="1">
        <v>1.4583333333333332E-2</v>
      </c>
      <c r="E37" s="3">
        <v>5030</v>
      </c>
      <c r="F37" s="2">
        <f>'Scrims Day 6'!E37-'Game Start Times'!$C$30</f>
        <v>880</v>
      </c>
      <c r="G37" t="s">
        <v>5</v>
      </c>
      <c r="J37" t="s">
        <v>137</v>
      </c>
    </row>
    <row r="38" spans="1:10" x14ac:dyDescent="0.3">
      <c r="A38">
        <v>3</v>
      </c>
      <c r="B38">
        <v>4</v>
      </c>
      <c r="C38" t="s">
        <v>5</v>
      </c>
      <c r="D38" s="1">
        <v>5.9722222222222225E-2</v>
      </c>
      <c r="E38" s="3">
        <v>5028</v>
      </c>
      <c r="F38" s="2">
        <f>'Scrims Day 6'!E38-'Game Start Times'!$C$30</f>
        <v>878</v>
      </c>
      <c r="G38" t="s">
        <v>7</v>
      </c>
      <c r="H38" t="s">
        <v>82</v>
      </c>
      <c r="I38" t="s">
        <v>83</v>
      </c>
    </row>
    <row r="39" spans="1:10" x14ac:dyDescent="0.3">
      <c r="A39">
        <v>3</v>
      </c>
      <c r="B39">
        <v>4</v>
      </c>
      <c r="C39" t="s">
        <v>7</v>
      </c>
      <c r="D39" s="1">
        <v>1.3194444444444444E-2</v>
      </c>
      <c r="E39" s="3">
        <v>5137</v>
      </c>
      <c r="F39" s="2">
        <f>'Scrims Day 6'!E39-'Game Start Times'!$C$30</f>
        <v>987</v>
      </c>
      <c r="G39" t="s">
        <v>5</v>
      </c>
    </row>
    <row r="40" spans="1:10" x14ac:dyDescent="0.3">
      <c r="A40">
        <v>3</v>
      </c>
      <c r="B40">
        <v>5</v>
      </c>
      <c r="C40" t="s">
        <v>5</v>
      </c>
      <c r="D40" s="1">
        <v>6.1111111111111116E-2</v>
      </c>
      <c r="E40" s="3">
        <v>5168</v>
      </c>
      <c r="F40" s="2">
        <f>'Scrims Day 6'!E40-'Game Start Times'!$C$30</f>
        <v>1018</v>
      </c>
      <c r="G40" t="s">
        <v>7</v>
      </c>
      <c r="H40" t="s">
        <v>34</v>
      </c>
      <c r="I40" t="s">
        <v>26</v>
      </c>
    </row>
    <row r="41" spans="1:10" x14ac:dyDescent="0.3">
      <c r="A41">
        <v>3</v>
      </c>
      <c r="B41">
        <v>5</v>
      </c>
      <c r="C41" t="s">
        <v>5</v>
      </c>
      <c r="D41" s="1">
        <v>6.1111111111111116E-2</v>
      </c>
      <c r="E41" s="3">
        <v>5168</v>
      </c>
      <c r="F41" s="2">
        <f>'Scrims Day 6'!E41-'Game Start Times'!$C$30</f>
        <v>1018</v>
      </c>
      <c r="G41" t="s">
        <v>7</v>
      </c>
      <c r="H41" t="s">
        <v>32</v>
      </c>
      <c r="I41" t="s">
        <v>26</v>
      </c>
      <c r="J41" t="s">
        <v>138</v>
      </c>
    </row>
    <row r="42" spans="1:10" x14ac:dyDescent="0.3">
      <c r="A42">
        <v>4</v>
      </c>
      <c r="B42">
        <v>1</v>
      </c>
      <c r="C42" t="s">
        <v>7</v>
      </c>
      <c r="D42" s="1">
        <v>9.4444444444444442E-2</v>
      </c>
      <c r="E42" s="3">
        <v>6175</v>
      </c>
      <c r="F42" s="2">
        <f>'Scrims Day 6'!E42-'Game Start Times'!$C$31</f>
        <v>285</v>
      </c>
      <c r="G42" t="s">
        <v>5</v>
      </c>
      <c r="J42" t="s">
        <v>139</v>
      </c>
    </row>
    <row r="43" spans="1:10" x14ac:dyDescent="0.3">
      <c r="A43">
        <v>4</v>
      </c>
      <c r="B43">
        <v>2</v>
      </c>
      <c r="C43" t="s">
        <v>5</v>
      </c>
      <c r="D43" s="1">
        <v>1.6666666666666666E-2</v>
      </c>
      <c r="E43" s="3">
        <v>6456</v>
      </c>
      <c r="F43" s="2">
        <f>'Scrims Day 6'!E43-'Game Start Times'!$C$31</f>
        <v>566</v>
      </c>
      <c r="G43" t="s">
        <v>5</v>
      </c>
    </row>
    <row r="44" spans="1:10" x14ac:dyDescent="0.3">
      <c r="A44">
        <v>4</v>
      </c>
      <c r="B44">
        <v>3</v>
      </c>
      <c r="C44" t="s">
        <v>5</v>
      </c>
      <c r="D44" s="1">
        <v>2.8472222222222222E-2</v>
      </c>
      <c r="E44" s="3">
        <v>6654</v>
      </c>
      <c r="F44" s="2">
        <f>'Scrims Day 6'!E44-'Game Start Times'!$C$31</f>
        <v>764</v>
      </c>
      <c r="G44" t="s">
        <v>5</v>
      </c>
      <c r="J44" t="s">
        <v>140</v>
      </c>
    </row>
    <row r="45" spans="1:10" x14ac:dyDescent="0.3">
      <c r="A45">
        <v>4</v>
      </c>
      <c r="B45">
        <v>4</v>
      </c>
      <c r="C45" t="s">
        <v>5</v>
      </c>
      <c r="D45" s="1">
        <v>6.6666666666666666E-2</v>
      </c>
      <c r="E45" s="3">
        <v>6756</v>
      </c>
      <c r="F45" s="2">
        <f>'Scrims Day 6'!E45-'Game Start Times'!$C$31</f>
        <v>866</v>
      </c>
      <c r="G45" t="s">
        <v>5</v>
      </c>
      <c r="J45" t="s">
        <v>141</v>
      </c>
    </row>
    <row r="46" spans="1:10" x14ac:dyDescent="0.3">
      <c r="A46">
        <v>5</v>
      </c>
      <c r="B46">
        <v>1</v>
      </c>
      <c r="C46" t="s">
        <v>5</v>
      </c>
      <c r="D46" s="1">
        <v>4.1666666666666666E-3</v>
      </c>
      <c r="E46" s="3">
        <v>10325</v>
      </c>
      <c r="F46" s="2">
        <f>'Scrims Day 6'!E46-'Game Start Times'!$C$32</f>
        <v>141</v>
      </c>
      <c r="G46" t="s">
        <v>5</v>
      </c>
    </row>
    <row r="47" spans="1:10" x14ac:dyDescent="0.3">
      <c r="A47">
        <v>5</v>
      </c>
      <c r="B47">
        <v>1</v>
      </c>
      <c r="C47" t="s">
        <v>7</v>
      </c>
      <c r="D47" s="1">
        <v>0.11319444444444444</v>
      </c>
      <c r="E47" s="3">
        <v>10445</v>
      </c>
      <c r="F47" s="2">
        <f>'Scrims Day 6'!E47-'Game Start Times'!$C$32</f>
        <v>261</v>
      </c>
      <c r="G47" t="s">
        <v>5</v>
      </c>
      <c r="J47" t="s">
        <v>142</v>
      </c>
    </row>
    <row r="48" spans="1:10" x14ac:dyDescent="0.3">
      <c r="A48">
        <v>5</v>
      </c>
      <c r="B48">
        <v>1</v>
      </c>
      <c r="C48" t="s">
        <v>7</v>
      </c>
      <c r="D48" s="1">
        <v>9.4444444444444442E-2</v>
      </c>
      <c r="E48" s="3">
        <v>10470</v>
      </c>
      <c r="F48" s="2">
        <f>'Scrims Day 6'!E48-'Game Start Times'!$C$32</f>
        <v>286</v>
      </c>
      <c r="G48" t="s">
        <v>5</v>
      </c>
    </row>
    <row r="49" spans="1:10" x14ac:dyDescent="0.3">
      <c r="A49">
        <v>5</v>
      </c>
      <c r="B49">
        <v>1</v>
      </c>
      <c r="C49" t="s">
        <v>7</v>
      </c>
      <c r="D49" s="1">
        <v>2.2916666666666669E-2</v>
      </c>
      <c r="E49" s="3">
        <v>10576</v>
      </c>
      <c r="F49" s="2">
        <f>'Scrims Day 6'!E49-'Game Start Times'!$C$32</f>
        <v>392</v>
      </c>
      <c r="G49" t="s">
        <v>7</v>
      </c>
      <c r="H49" t="s">
        <v>143</v>
      </c>
      <c r="I49" t="s">
        <v>144</v>
      </c>
    </row>
    <row r="50" spans="1:10" x14ac:dyDescent="0.3">
      <c r="A50">
        <v>5</v>
      </c>
      <c r="B50">
        <v>2</v>
      </c>
      <c r="C50" t="s">
        <v>5</v>
      </c>
      <c r="D50" s="1">
        <v>8.7500000000000008E-2</v>
      </c>
      <c r="E50" s="3">
        <v>10654</v>
      </c>
      <c r="F50" s="2">
        <f>'Scrims Day 6'!E50-'Game Start Times'!$C$32</f>
        <v>470</v>
      </c>
      <c r="G50" t="s">
        <v>5</v>
      </c>
    </row>
    <row r="51" spans="1:10" x14ac:dyDescent="0.3">
      <c r="A51">
        <v>5</v>
      </c>
      <c r="B51">
        <v>2</v>
      </c>
      <c r="C51" t="s">
        <v>7</v>
      </c>
      <c r="D51" s="1">
        <v>2.7777777777777776E-2</v>
      </c>
      <c r="E51" s="3">
        <v>10812</v>
      </c>
      <c r="F51" s="2">
        <f>'Scrims Day 6'!E51-'Game Start Times'!$C$32</f>
        <v>628</v>
      </c>
      <c r="G51" t="s">
        <v>5</v>
      </c>
    </row>
    <row r="52" spans="1:10" x14ac:dyDescent="0.3">
      <c r="A52">
        <v>5</v>
      </c>
      <c r="B52">
        <v>2</v>
      </c>
      <c r="C52" t="s">
        <v>7</v>
      </c>
      <c r="D52" s="1">
        <v>9.0277777777777787E-3</v>
      </c>
      <c r="E52" s="3">
        <v>10839</v>
      </c>
      <c r="F52" s="2">
        <f>'Scrims Day 6'!E52-'Game Start Times'!$C$32</f>
        <v>655</v>
      </c>
      <c r="G52" t="s">
        <v>5</v>
      </c>
    </row>
    <row r="53" spans="1:10" x14ac:dyDescent="0.3">
      <c r="A53">
        <v>5</v>
      </c>
      <c r="B53">
        <v>3</v>
      </c>
      <c r="C53" t="s">
        <v>5</v>
      </c>
      <c r="D53" s="1">
        <v>4.5833333333333337E-2</v>
      </c>
      <c r="E53" s="3">
        <v>10924</v>
      </c>
      <c r="F53" s="2">
        <f>'Scrims Day 6'!E53-'Game Start Times'!$C$32</f>
        <v>740</v>
      </c>
      <c r="G53" t="s">
        <v>5</v>
      </c>
    </row>
    <row r="54" spans="1:10" x14ac:dyDescent="0.3">
      <c r="A54">
        <v>5</v>
      </c>
      <c r="B54">
        <v>3</v>
      </c>
      <c r="C54" t="s">
        <v>5</v>
      </c>
      <c r="D54" s="1">
        <v>1.6666666666666666E-2</v>
      </c>
      <c r="E54" s="3">
        <v>10966</v>
      </c>
      <c r="F54" s="2">
        <f>'Scrims Day 6'!E54-'Game Start Times'!$C$32</f>
        <v>782</v>
      </c>
      <c r="G54" t="s">
        <v>5</v>
      </c>
    </row>
    <row r="55" spans="1:10" x14ac:dyDescent="0.3">
      <c r="A55">
        <v>5</v>
      </c>
      <c r="B55">
        <v>3</v>
      </c>
      <c r="C55" t="s">
        <v>7</v>
      </c>
      <c r="D55" s="1">
        <v>1.4583333333333332E-2</v>
      </c>
      <c r="E55" s="3">
        <v>11017</v>
      </c>
      <c r="F55" s="2">
        <f>'Scrims Day 6'!E55-'Game Start Times'!$C$32</f>
        <v>833</v>
      </c>
      <c r="G55" t="s">
        <v>7</v>
      </c>
      <c r="H55" t="s">
        <v>62</v>
      </c>
      <c r="I55" t="s">
        <v>9</v>
      </c>
      <c r="J55" t="s">
        <v>6</v>
      </c>
    </row>
    <row r="56" spans="1:10" x14ac:dyDescent="0.3">
      <c r="A56">
        <v>5</v>
      </c>
      <c r="B56">
        <v>3</v>
      </c>
      <c r="C56" t="s">
        <v>7</v>
      </c>
      <c r="D56" s="1">
        <v>0</v>
      </c>
      <c r="E56" s="3">
        <v>11043</v>
      </c>
      <c r="F56" s="2">
        <f>'Scrims Day 6'!E56-'Game Start Times'!$C$32</f>
        <v>859</v>
      </c>
      <c r="G56" t="s">
        <v>7</v>
      </c>
      <c r="H56" t="s">
        <v>8</v>
      </c>
      <c r="I56" t="s">
        <v>9</v>
      </c>
      <c r="J56" t="s">
        <v>145</v>
      </c>
    </row>
    <row r="57" spans="1:10" x14ac:dyDescent="0.3">
      <c r="A57">
        <v>6</v>
      </c>
      <c r="B57">
        <v>2</v>
      </c>
      <c r="C57" t="s">
        <v>5</v>
      </c>
      <c r="D57" s="1">
        <v>7.5694444444444439E-2</v>
      </c>
      <c r="E57" s="3">
        <v>12347</v>
      </c>
      <c r="F57" s="2">
        <f>'Scrims Day 6'!E57-'Game Start Times'!$C$33</f>
        <v>492</v>
      </c>
      <c r="G57" t="s">
        <v>7</v>
      </c>
      <c r="H57" t="s">
        <v>114</v>
      </c>
      <c r="I57" t="s">
        <v>107</v>
      </c>
      <c r="J57" t="s">
        <v>146</v>
      </c>
    </row>
    <row r="58" spans="1:10" x14ac:dyDescent="0.3">
      <c r="A58">
        <v>6</v>
      </c>
      <c r="B58">
        <v>2</v>
      </c>
      <c r="C58" t="s">
        <v>5</v>
      </c>
      <c r="D58" s="1">
        <v>4.027777777777778E-2</v>
      </c>
      <c r="E58" s="3">
        <v>12398</v>
      </c>
      <c r="F58" s="2">
        <f>'Scrims Day 6'!E58-'Game Start Times'!$C$33</f>
        <v>543</v>
      </c>
      <c r="G58" t="s">
        <v>7</v>
      </c>
      <c r="H58" t="s">
        <v>37</v>
      </c>
      <c r="I58" t="s">
        <v>38</v>
      </c>
    </row>
    <row r="59" spans="1:10" x14ac:dyDescent="0.3">
      <c r="A59">
        <v>6</v>
      </c>
      <c r="B59">
        <v>2</v>
      </c>
      <c r="C59" t="s">
        <v>5</v>
      </c>
      <c r="D59" s="1">
        <v>2.361111111111111E-2</v>
      </c>
      <c r="E59" s="3">
        <v>12424</v>
      </c>
      <c r="F59" s="2">
        <f>'Scrims Day 6'!E59-'Game Start Times'!$C$33</f>
        <v>569</v>
      </c>
      <c r="G59" t="s">
        <v>7</v>
      </c>
      <c r="H59" t="s">
        <v>127</v>
      </c>
      <c r="I59" t="s">
        <v>18</v>
      </c>
      <c r="J59" t="s">
        <v>147</v>
      </c>
    </row>
    <row r="60" spans="1:10" x14ac:dyDescent="0.3">
      <c r="A60">
        <v>6</v>
      </c>
      <c r="B60">
        <v>2</v>
      </c>
      <c r="C60" t="s">
        <v>5</v>
      </c>
      <c r="D60" s="1">
        <v>7.6388888888888886E-3</v>
      </c>
      <c r="E60" s="3">
        <v>12446</v>
      </c>
      <c r="F60" s="2">
        <f>'Scrims Day 6'!E60-'Game Start Times'!$C$33</f>
        <v>591</v>
      </c>
      <c r="G60" t="s">
        <v>7</v>
      </c>
      <c r="H60" t="s">
        <v>129</v>
      </c>
      <c r="I60" t="s">
        <v>18</v>
      </c>
    </row>
    <row r="61" spans="1:10" x14ac:dyDescent="0.3">
      <c r="A61">
        <v>6</v>
      </c>
      <c r="B61">
        <v>2</v>
      </c>
      <c r="C61" t="s">
        <v>7</v>
      </c>
      <c r="D61" s="1">
        <v>1.8749999999999999E-2</v>
      </c>
      <c r="E61" s="3">
        <v>12503</v>
      </c>
      <c r="F61" s="2">
        <f>'Scrims Day 6'!E61-'Game Start Times'!$C$33</f>
        <v>648</v>
      </c>
      <c r="G61" t="s">
        <v>7</v>
      </c>
      <c r="H61" t="s">
        <v>37</v>
      </c>
      <c r="I61" t="s">
        <v>38</v>
      </c>
    </row>
    <row r="62" spans="1:10" x14ac:dyDescent="0.3">
      <c r="A62">
        <v>6</v>
      </c>
      <c r="B62">
        <v>3</v>
      </c>
      <c r="C62" t="s">
        <v>5</v>
      </c>
      <c r="D62" s="1">
        <v>4.8611111111111112E-2</v>
      </c>
      <c r="E62" s="3">
        <v>12600</v>
      </c>
      <c r="F62" s="2">
        <f>'Scrims Day 6'!E62-'Game Start Times'!$C$33</f>
        <v>745</v>
      </c>
      <c r="G62" t="s">
        <v>7</v>
      </c>
      <c r="H62" t="s">
        <v>127</v>
      </c>
      <c r="I62" t="s">
        <v>18</v>
      </c>
      <c r="J62" t="s">
        <v>147</v>
      </c>
    </row>
    <row r="63" spans="1:10" x14ac:dyDescent="0.3">
      <c r="A63">
        <v>6</v>
      </c>
      <c r="B63">
        <v>3</v>
      </c>
      <c r="C63" t="s">
        <v>7</v>
      </c>
      <c r="D63" s="1">
        <v>1.4583333333333332E-2</v>
      </c>
      <c r="E63" s="3">
        <v>12696</v>
      </c>
      <c r="F63" s="2">
        <f>'Scrims Day 6'!E63-'Game Start Times'!$C$33</f>
        <v>841</v>
      </c>
      <c r="G63" t="s">
        <v>5</v>
      </c>
    </row>
    <row r="64" spans="1:10" x14ac:dyDescent="0.3">
      <c r="A64">
        <v>6</v>
      </c>
      <c r="B64">
        <v>6</v>
      </c>
      <c r="C64" t="s">
        <v>5</v>
      </c>
      <c r="D64" s="1">
        <v>0</v>
      </c>
      <c r="E64" s="3">
        <v>13075</v>
      </c>
      <c r="F64" s="2">
        <f>'Scrims Day 6'!E64-'Game Start Times'!$C$33</f>
        <v>1220</v>
      </c>
      <c r="G64" t="s">
        <v>5</v>
      </c>
    </row>
    <row r="65" spans="1:10" x14ac:dyDescent="0.3">
      <c r="A65">
        <v>6</v>
      </c>
      <c r="B65">
        <v>6</v>
      </c>
      <c r="C65" t="s">
        <v>7</v>
      </c>
      <c r="D65" s="1">
        <v>6.7361111111111108E-2</v>
      </c>
      <c r="E65" s="3">
        <v>13101</v>
      </c>
      <c r="F65" s="2">
        <f>'Scrims Day 6'!E65-'Game Start Times'!$C$33</f>
        <v>1246</v>
      </c>
      <c r="G65" t="s">
        <v>5</v>
      </c>
    </row>
    <row r="66" spans="1:10" x14ac:dyDescent="0.3">
      <c r="A66">
        <v>6</v>
      </c>
      <c r="B66">
        <v>6</v>
      </c>
      <c r="C66" t="s">
        <v>7</v>
      </c>
      <c r="D66" s="1">
        <v>5.2083333333333336E-2</v>
      </c>
      <c r="E66" s="3">
        <v>13123</v>
      </c>
      <c r="F66" s="2">
        <f>'Scrims Day 6'!E66-'Game Start Times'!$C$33</f>
        <v>1268</v>
      </c>
      <c r="G66" t="s">
        <v>7</v>
      </c>
      <c r="H66" t="s">
        <v>127</v>
      </c>
      <c r="I66" t="s">
        <v>18</v>
      </c>
      <c r="J66" t="s">
        <v>147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36164-120E-4405-B3DE-BC30BD504AF5}">
  <sheetPr codeName="Sheet4"/>
  <dimension ref="A1:C66"/>
  <sheetViews>
    <sheetView workbookViewId="0">
      <selection activeCell="C65" sqref="C1:C65"/>
    </sheetView>
  </sheetViews>
  <sheetFormatPr defaultRowHeight="14.4" x14ac:dyDescent="0.3"/>
  <cols>
    <col min="2" max="2" width="59.44140625" bestFit="1" customWidth="1"/>
    <col min="3" max="3" width="14.109375" customWidth="1"/>
  </cols>
  <sheetData>
    <row r="1" spans="1:3" ht="15.6" thickTop="1" thickBot="1" x14ac:dyDescent="0.35">
      <c r="A1" s="8" t="s">
        <v>7</v>
      </c>
      <c r="B1" t="str" cm="1">
        <f t="array" ref="B1">URL(A1)</f>
        <v>https://www.youtube.com/live/GMYN2t6bqPw?feature=share&amp;t=1116</v>
      </c>
      <c r="C1" t="str" cm="1">
        <f t="array" aca="1" ref="C1" ca="1">RIGHT(B1, LEN(B1) - MAX(IF(ISNUMBER(MID(B1, ROW(INDIRECT("1:"&amp;LEN(B1))), 1) *1)=FALSE, ROW(INDIRECT("1:"&amp;LEN(B1))), 0)))</f>
        <v>1116</v>
      </c>
    </row>
    <row r="2" spans="1:3" ht="15" thickBot="1" x14ac:dyDescent="0.35">
      <c r="A2" s="4" t="s">
        <v>5</v>
      </c>
      <c r="B2" t="str" cm="1">
        <f t="array" ref="B2">URL(A2)</f>
        <v>https://www.youtube.com/live/GMYN2t6bqPw?feature=share&amp;t=1162</v>
      </c>
      <c r="C2" t="str" cm="1">
        <f t="array" aca="1" ref="C2" ca="1">RIGHT(B2, LEN(B2) - MAX(IF(ISNUMBER(MID(B2, ROW(INDIRECT("1:"&amp;LEN(B2))), 1) *1)=FALSE, ROW(INDIRECT("1:"&amp;LEN(B2))), 0)))</f>
        <v>1162</v>
      </c>
    </row>
    <row r="3" spans="1:3" ht="15" thickBot="1" x14ac:dyDescent="0.35">
      <c r="A3" s="4" t="s">
        <v>5</v>
      </c>
      <c r="B3" t="str" cm="1">
        <f t="array" ref="B3">URL(A3)</f>
        <v>https://www.youtube.com/live/GMYN2t6bqPw?feature=share&amp;t=1289</v>
      </c>
      <c r="C3" t="str" cm="1">
        <f t="array" aca="1" ref="C3" ca="1">RIGHT(B3, LEN(B3) - MAX(IF(ISNUMBER(MID(B3, ROW(INDIRECT("1:"&amp;LEN(B3))), 1) *1)=FALSE, ROW(INDIRECT("1:"&amp;LEN(B3))), 0)))</f>
        <v>1289</v>
      </c>
    </row>
    <row r="4" spans="1:3" ht="15" thickBot="1" x14ac:dyDescent="0.35">
      <c r="A4" s="4" t="s">
        <v>5</v>
      </c>
      <c r="B4" t="str" cm="1">
        <f t="array" ref="B4">URL(A4)</f>
        <v>https://www.youtube.com/live/GMYN2t6bqPw?feature=share&amp;t=1332</v>
      </c>
      <c r="C4" t="str" cm="1">
        <f t="array" aca="1" ref="C4" ca="1">RIGHT(B4, LEN(B4) - MAX(IF(ISNUMBER(MID(B4, ROW(INDIRECT("1:"&amp;LEN(B4))), 1) *1)=FALSE, ROW(INDIRECT("1:"&amp;LEN(B4))), 0)))</f>
        <v>1332</v>
      </c>
    </row>
    <row r="5" spans="1:3" ht="15" thickBot="1" x14ac:dyDescent="0.35">
      <c r="A5" s="4" t="s">
        <v>5</v>
      </c>
      <c r="B5" t="str" cm="1">
        <f t="array" ref="B5">URL(A5)</f>
        <v>https://www.youtube.com/live/GMYN2t6bqPw?feature=share&amp;t=1362</v>
      </c>
      <c r="C5" t="str" cm="1">
        <f t="array" aca="1" ref="C5" ca="1">RIGHT(B5, LEN(B5) - MAX(IF(ISNUMBER(MID(B5, ROW(INDIRECT("1:"&amp;LEN(B5))), 1) *1)=FALSE, ROW(INDIRECT("1:"&amp;LEN(B5))), 0)))</f>
        <v>1362</v>
      </c>
    </row>
    <row r="6" spans="1:3" ht="15" thickBot="1" x14ac:dyDescent="0.35">
      <c r="A6" s="4" t="s">
        <v>5</v>
      </c>
      <c r="B6" t="str" cm="1">
        <f t="array" ref="B6">URL(A6)</f>
        <v>https://www.youtube.com/live/GMYN2t6bqPw?feature=share&amp;t=1404</v>
      </c>
      <c r="C6" t="str" cm="1">
        <f t="array" aca="1" ref="C6" ca="1">RIGHT(B6, LEN(B6) - MAX(IF(ISNUMBER(MID(B6, ROW(INDIRECT("1:"&amp;LEN(B6))), 1) *1)=FALSE, ROW(INDIRECT("1:"&amp;LEN(B6))), 0)))</f>
        <v>1404</v>
      </c>
    </row>
    <row r="7" spans="1:3" ht="15" thickBot="1" x14ac:dyDescent="0.35">
      <c r="A7" s="4" t="s">
        <v>5</v>
      </c>
      <c r="B7" t="str" cm="1">
        <f t="array" ref="B7">URL(A7)</f>
        <v>https://www.youtube.com/live/GMYN2t6bqPw?feature=share&amp;t=1434</v>
      </c>
      <c r="C7" t="str" cm="1">
        <f t="array" aca="1" ref="C7" ca="1">RIGHT(B7, LEN(B7) - MAX(IF(ISNUMBER(MID(B7, ROW(INDIRECT("1:"&amp;LEN(B7))), 1) *1)=FALSE, ROW(INDIRECT("1:"&amp;LEN(B7))), 0)))</f>
        <v>1434</v>
      </c>
    </row>
    <row r="8" spans="1:3" ht="15" thickBot="1" x14ac:dyDescent="0.35">
      <c r="A8" s="5" t="s">
        <v>7</v>
      </c>
      <c r="B8" t="str" cm="1">
        <f t="array" ref="B8">URL(A8)</f>
        <v>https://www.youtube.com/live/GMYN2t6bqPw?feature=share&amp;t=1505</v>
      </c>
      <c r="C8" t="str" cm="1">
        <f t="array" aca="1" ref="C8" ca="1">RIGHT(B8, LEN(B8) - MAX(IF(ISNUMBER(MID(B8, ROW(INDIRECT("1:"&amp;LEN(B8))), 1) *1)=FALSE, ROW(INDIRECT("1:"&amp;LEN(B8))), 0)))</f>
        <v>1505</v>
      </c>
    </row>
    <row r="9" spans="1:3" ht="15" thickBot="1" x14ac:dyDescent="0.35">
      <c r="A9" s="5" t="s">
        <v>7</v>
      </c>
      <c r="B9" t="str" cm="1">
        <f t="array" ref="B9">URL(A9)</f>
        <v>https://www.youtube.com/live/GMYN2t6bqPw?feature=share&amp;t=1505</v>
      </c>
      <c r="C9" t="str" cm="1">
        <f t="array" aca="1" ref="C9" ca="1">RIGHT(B9, LEN(B9) - MAX(IF(ISNUMBER(MID(B9, ROW(INDIRECT("1:"&amp;LEN(B9))), 1) *1)=FALSE, ROW(INDIRECT("1:"&amp;LEN(B9))), 0)))</f>
        <v>1505</v>
      </c>
    </row>
    <row r="10" spans="1:3" ht="15" thickBot="1" x14ac:dyDescent="0.35">
      <c r="A10" s="4" t="s">
        <v>5</v>
      </c>
      <c r="B10" t="str" cm="1">
        <f t="array" ref="B10">URL(A10)</f>
        <v>https://www.youtube.com/live/GMYN2t6bqPw?feature=share&amp;t=1546</v>
      </c>
      <c r="C10" t="str" cm="1">
        <f t="array" aca="1" ref="C10" ca="1">RIGHT(B10, LEN(B10) - MAX(IF(ISNUMBER(MID(B10, ROW(INDIRECT("1:"&amp;LEN(B10))), 1) *1)=FALSE, ROW(INDIRECT("1:"&amp;LEN(B10))), 0)))</f>
        <v>1546</v>
      </c>
    </row>
    <row r="11" spans="1:3" ht="15" thickBot="1" x14ac:dyDescent="0.35">
      <c r="A11" s="5" t="s">
        <v>7</v>
      </c>
      <c r="B11" t="str" cm="1">
        <f t="array" ref="B11">URL(A11)</f>
        <v>https://www.youtube.com/live/GMYN2t6bqPw?feature=share&amp;t=1596</v>
      </c>
      <c r="C11" t="str" cm="1">
        <f t="array" aca="1" ref="C11" ca="1">RIGHT(B11, LEN(B11) - MAX(IF(ISNUMBER(MID(B11, ROW(INDIRECT("1:"&amp;LEN(B11))), 1) *1)=FALSE, ROW(INDIRECT("1:"&amp;LEN(B11))), 0)))</f>
        <v>1596</v>
      </c>
    </row>
    <row r="12" spans="1:3" ht="15" thickBot="1" x14ac:dyDescent="0.35">
      <c r="A12" s="7" t="s">
        <v>7</v>
      </c>
      <c r="B12" t="str" cm="1">
        <f t="array" ref="B12">URL(A12)</f>
        <v>https://www.youtube.com/live/GMYN2t6bqPw?feature=share&amp;t=1596</v>
      </c>
      <c r="C12" t="str" cm="1">
        <f t="array" aca="1" ref="C12" ca="1">RIGHT(B12, LEN(B12) - MAX(IF(ISNUMBER(MID(B12, ROW(INDIRECT("1:"&amp;LEN(B12))), 1) *1)=FALSE, ROW(INDIRECT("1:"&amp;LEN(B12))), 0)))</f>
        <v>1596</v>
      </c>
    </row>
    <row r="13" spans="1:3" ht="15.6" thickTop="1" thickBot="1" x14ac:dyDescent="0.35">
      <c r="A13" s="5" t="s">
        <v>7</v>
      </c>
      <c r="B13" t="str" cm="1">
        <f t="array" ref="B13">URL(A13)</f>
        <v>https://www.youtube.com/live/GMYN2t6bqPw?feature=share&amp;t=3168</v>
      </c>
      <c r="C13" t="str" cm="1">
        <f t="array" aca="1" ref="C13" ca="1">RIGHT(B13, LEN(B13) - MAX(IF(ISNUMBER(MID(B13, ROW(INDIRECT("1:"&amp;LEN(B13))), 1) *1)=FALSE, ROW(INDIRECT("1:"&amp;LEN(B13))), 0)))</f>
        <v>3168</v>
      </c>
    </row>
    <row r="14" spans="1:3" ht="15" thickBot="1" x14ac:dyDescent="0.35">
      <c r="A14" s="5" t="s">
        <v>7</v>
      </c>
      <c r="B14" t="str" cm="1">
        <f t="array" ref="B14">URL(A14)</f>
        <v>https://www.youtube.com/live/GMYN2t6bqPw?feature=share&amp;t=3256</v>
      </c>
      <c r="C14" t="str" cm="1">
        <f t="array" aca="1" ref="C14" ca="1">RIGHT(B14, LEN(B14) - MAX(IF(ISNUMBER(MID(B14, ROW(INDIRECT("1:"&amp;LEN(B14))), 1) *1)=FALSE, ROW(INDIRECT("1:"&amp;LEN(B14))), 0)))</f>
        <v>3256</v>
      </c>
    </row>
    <row r="15" spans="1:3" ht="15" thickBot="1" x14ac:dyDescent="0.35">
      <c r="A15" s="5" t="s">
        <v>7</v>
      </c>
      <c r="B15" t="str" cm="1">
        <f t="array" ref="B15">URL(A15)</f>
        <v>https://www.youtube.com/live/GMYN2t6bqPw?feature=share&amp;t=3256</v>
      </c>
      <c r="C15" t="str" cm="1">
        <f t="array" aca="1" ref="C15" ca="1">RIGHT(B15, LEN(B15) - MAX(IF(ISNUMBER(MID(B15, ROW(INDIRECT("1:"&amp;LEN(B15))), 1) *1)=FALSE, ROW(INDIRECT("1:"&amp;LEN(B15))), 0)))</f>
        <v>3256</v>
      </c>
    </row>
    <row r="16" spans="1:3" ht="15" thickBot="1" x14ac:dyDescent="0.35">
      <c r="A16" s="5" t="s">
        <v>7</v>
      </c>
      <c r="B16" t="str" cm="1">
        <f t="array" ref="B16">URL(A16)</f>
        <v>https://www.youtube.com/live/GMYN2t6bqPw?feature=share&amp;t=3328</v>
      </c>
      <c r="C16" t="str" cm="1">
        <f t="array" aca="1" ref="C16" ca="1">RIGHT(B16, LEN(B16) - MAX(IF(ISNUMBER(MID(B16, ROW(INDIRECT("1:"&amp;LEN(B16))), 1) *1)=FALSE, ROW(INDIRECT("1:"&amp;LEN(B16))), 0)))</f>
        <v>3328</v>
      </c>
    </row>
    <row r="17" spans="1:3" ht="15" thickBot="1" x14ac:dyDescent="0.35">
      <c r="A17" s="5" t="s">
        <v>7</v>
      </c>
      <c r="B17" t="str" cm="1">
        <f t="array" ref="B17">URL(A17)</f>
        <v>https://www.youtube.com/live/GMYN2t6bqPw?feature=share&amp;t=3357</v>
      </c>
      <c r="C17" t="str" cm="1">
        <f t="array" aca="1" ref="C17" ca="1">RIGHT(B17, LEN(B17) - MAX(IF(ISNUMBER(MID(B17, ROW(INDIRECT("1:"&amp;LEN(B17))), 1) *1)=FALSE, ROW(INDIRECT("1:"&amp;LEN(B17))), 0)))</f>
        <v>3357</v>
      </c>
    </row>
    <row r="18" spans="1:3" ht="15" thickBot="1" x14ac:dyDescent="0.35">
      <c r="A18" s="5" t="s">
        <v>7</v>
      </c>
      <c r="B18" t="str" cm="1">
        <f t="array" ref="B18">URL(A18)</f>
        <v>https://www.youtube.com/live/GMYN2t6bqPw?feature=share&amp;t=3357</v>
      </c>
      <c r="C18" t="str" cm="1">
        <f t="array" aca="1" ref="C18" ca="1">RIGHT(B18, LEN(B18) - MAX(IF(ISNUMBER(MID(B18, ROW(INDIRECT("1:"&amp;LEN(B18))), 1) *1)=FALSE, ROW(INDIRECT("1:"&amp;LEN(B18))), 0)))</f>
        <v>3357</v>
      </c>
    </row>
    <row r="19" spans="1:3" ht="15" thickBot="1" x14ac:dyDescent="0.35">
      <c r="A19" s="5" t="s">
        <v>7</v>
      </c>
      <c r="B19" t="str" cm="1">
        <f t="array" ref="B19">URL(A19)</f>
        <v>https://www.youtube.com/live/GMYN2t6bqPw?feature=share&amp;t=3357</v>
      </c>
      <c r="C19" t="str" cm="1">
        <f t="array" aca="1" ref="C19" ca="1">RIGHT(B19, LEN(B19) - MAX(IF(ISNUMBER(MID(B19, ROW(INDIRECT("1:"&amp;LEN(B19))), 1) *1)=FALSE, ROW(INDIRECT("1:"&amp;LEN(B19))), 0)))</f>
        <v>3357</v>
      </c>
    </row>
    <row r="20" spans="1:3" ht="15" thickBot="1" x14ac:dyDescent="0.35">
      <c r="A20" s="4" t="s">
        <v>5</v>
      </c>
      <c r="B20" t="str" cm="1">
        <f t="array" ref="B20">URL(A20)</f>
        <v>https://www.youtube.com/live/GMYN2t6bqPw?feature=share&amp;t=3400</v>
      </c>
      <c r="C20" t="str" cm="1">
        <f t="array" aca="1" ref="C20" ca="1">RIGHT(B20, LEN(B20) - MAX(IF(ISNUMBER(MID(B20, ROW(INDIRECT("1:"&amp;LEN(B20))), 1) *1)=FALSE, ROW(INDIRECT("1:"&amp;LEN(B20))), 0)))</f>
        <v>3400</v>
      </c>
    </row>
    <row r="21" spans="1:3" ht="15" thickBot="1" x14ac:dyDescent="0.35">
      <c r="A21" s="5" t="s">
        <v>7</v>
      </c>
      <c r="B21" t="str" cm="1">
        <f t="array" ref="B21">URL(A21)</f>
        <v>https://www.youtube.com/live/GMYN2t6bqPw?feature=share&amp;t=3431</v>
      </c>
      <c r="C21" t="str" cm="1">
        <f t="array" aca="1" ref="C21" ca="1">RIGHT(B21, LEN(B21) - MAX(IF(ISNUMBER(MID(B21, ROW(INDIRECT("1:"&amp;LEN(B21))), 1) *1)=FALSE, ROW(INDIRECT("1:"&amp;LEN(B21))), 0)))</f>
        <v>3431</v>
      </c>
    </row>
    <row r="22" spans="1:3" ht="15" thickBot="1" x14ac:dyDescent="0.35">
      <c r="A22" s="5" t="s">
        <v>7</v>
      </c>
      <c r="B22" t="str" cm="1">
        <f t="array" ref="B22">URL(A22)</f>
        <v>https://www.youtube.com/live/GMYN2t6bqPw?feature=share&amp;t=3431</v>
      </c>
      <c r="C22" t="str" cm="1">
        <f t="array" aca="1" ref="C22" ca="1">RIGHT(B22, LEN(B22) - MAX(IF(ISNUMBER(MID(B22, ROW(INDIRECT("1:"&amp;LEN(B22))), 1) *1)=FALSE, ROW(INDIRECT("1:"&amp;LEN(B22))), 0)))</f>
        <v>3431</v>
      </c>
    </row>
    <row r="23" spans="1:3" ht="15" thickBot="1" x14ac:dyDescent="0.35">
      <c r="A23" s="5" t="s">
        <v>7</v>
      </c>
      <c r="B23" t="str" cm="1">
        <f t="array" ref="B23">URL(A23)</f>
        <v>https://www.youtube.com/live/GMYN2t6bqPw?feature=share&amp;t=3431</v>
      </c>
      <c r="C23" t="str" cm="1">
        <f t="array" aca="1" ref="C23" ca="1">RIGHT(B23, LEN(B23) - MAX(IF(ISNUMBER(MID(B23, ROW(INDIRECT("1:"&amp;LEN(B23))), 1) *1)=FALSE, ROW(INDIRECT("1:"&amp;LEN(B23))), 0)))</f>
        <v>3431</v>
      </c>
    </row>
    <row r="24" spans="1:3" ht="15" thickBot="1" x14ac:dyDescent="0.35">
      <c r="A24" s="5" t="s">
        <v>7</v>
      </c>
      <c r="B24" t="str" cm="1">
        <f t="array" ref="B24">URL(A24)</f>
        <v>https://www.youtube.com/live/GMYN2t6bqPw?feature=share&amp;t=3483</v>
      </c>
      <c r="C24" t="str" cm="1">
        <f t="array" aca="1" ref="C24" ca="1">RIGHT(B24, LEN(B24) - MAX(IF(ISNUMBER(MID(B24, ROW(INDIRECT("1:"&amp;LEN(B24))), 1) *1)=FALSE, ROW(INDIRECT("1:"&amp;LEN(B24))), 0)))</f>
        <v>3483</v>
      </c>
    </row>
    <row r="25" spans="1:3" ht="15" thickBot="1" x14ac:dyDescent="0.35">
      <c r="A25" s="5" t="s">
        <v>7</v>
      </c>
      <c r="B25" t="str" cm="1">
        <f t="array" ref="B25">URL(A25)</f>
        <v>https://www.youtube.com/live/GMYN2t6bqPw?feature=share&amp;t=3515</v>
      </c>
      <c r="C25" t="str" cm="1">
        <f t="array" aca="1" ref="C25" ca="1">RIGHT(B25, LEN(B25) - MAX(IF(ISNUMBER(MID(B25, ROW(INDIRECT("1:"&amp;LEN(B25))), 1) *1)=FALSE, ROW(INDIRECT("1:"&amp;LEN(B25))), 0)))</f>
        <v>3515</v>
      </c>
    </row>
    <row r="26" spans="1:3" ht="15" thickBot="1" x14ac:dyDescent="0.35">
      <c r="A26" s="5" t="s">
        <v>7</v>
      </c>
      <c r="B26" t="str" cm="1">
        <f t="array" ref="B26">URL(A26)</f>
        <v>https://www.youtube.com/live/GMYN2t6bqPw?feature=share&amp;t=3515</v>
      </c>
      <c r="C26" t="str" cm="1">
        <f t="array" aca="1" ref="C26" ca="1">RIGHT(B26, LEN(B26) - MAX(IF(ISNUMBER(MID(B26, ROW(INDIRECT("1:"&amp;LEN(B26))), 1) *1)=FALSE, ROW(INDIRECT("1:"&amp;LEN(B26))), 0)))</f>
        <v>3515</v>
      </c>
    </row>
    <row r="27" spans="1:3" ht="15" thickBot="1" x14ac:dyDescent="0.35">
      <c r="A27" s="5" t="s">
        <v>7</v>
      </c>
      <c r="B27" t="str" cm="1">
        <f t="array" ref="B27">URL(A27)</f>
        <v>https://www.youtube.com/live/GMYN2t6bqPw?feature=share&amp;t=3541</v>
      </c>
      <c r="C27" t="str" cm="1">
        <f t="array" aca="1" ref="C27" ca="1">RIGHT(B27, LEN(B27) - MAX(IF(ISNUMBER(MID(B27, ROW(INDIRECT("1:"&amp;LEN(B27))), 1) *1)=FALSE, ROW(INDIRECT("1:"&amp;LEN(B27))), 0)))</f>
        <v>3541</v>
      </c>
    </row>
    <row r="28" spans="1:3" ht="15" thickBot="1" x14ac:dyDescent="0.35">
      <c r="A28" s="5" t="s">
        <v>7</v>
      </c>
      <c r="B28" t="str" cm="1">
        <f t="array" ref="B28">URL(A28)</f>
        <v>https://www.youtube.com/live/GMYN2t6bqPw?feature=share&amp;t=3541</v>
      </c>
      <c r="C28" t="str" cm="1">
        <f t="array" aca="1" ref="C28" ca="1">RIGHT(B28, LEN(B28) - MAX(IF(ISNUMBER(MID(B28, ROW(INDIRECT("1:"&amp;LEN(B28))), 1) *1)=FALSE, ROW(INDIRECT("1:"&amp;LEN(B28))), 0)))</f>
        <v>3541</v>
      </c>
    </row>
    <row r="29" spans="1:3" ht="15" thickBot="1" x14ac:dyDescent="0.35">
      <c r="A29" s="5" t="s">
        <v>7</v>
      </c>
      <c r="B29" t="str" cm="1">
        <f t="array" ref="B29">URL(A29)</f>
        <v>https://www.youtube.com/live/GMYN2t6bqPw?feature=share&amp;t=3541</v>
      </c>
      <c r="C29" t="str" cm="1">
        <f t="array" aca="1" ref="C29" ca="1">RIGHT(B29, LEN(B29) - MAX(IF(ISNUMBER(MID(B29, ROW(INDIRECT("1:"&amp;LEN(B29))), 1) *1)=FALSE, ROW(INDIRECT("1:"&amp;LEN(B29))), 0)))</f>
        <v>3541</v>
      </c>
    </row>
    <row r="30" spans="1:3" ht="15" thickBot="1" x14ac:dyDescent="0.35">
      <c r="A30" s="4" t="s">
        <v>5</v>
      </c>
      <c r="B30" t="str" cm="1">
        <f t="array" ref="B30">URL(A30)</f>
        <v>https://www.youtube.com/live/GMYN2t6bqPw?feature=share&amp;t=3585</v>
      </c>
      <c r="C30" t="str" cm="1">
        <f t="array" aca="1" ref="C30" ca="1">RIGHT(B30, LEN(B30) - MAX(IF(ISNUMBER(MID(B30, ROW(INDIRECT("1:"&amp;LEN(B30))), 1) *1)=FALSE, ROW(INDIRECT("1:"&amp;LEN(B30))), 0)))</f>
        <v>3585</v>
      </c>
    </row>
    <row r="31" spans="1:3" ht="15" thickBot="1" x14ac:dyDescent="0.35">
      <c r="A31" s="6" t="s">
        <v>5</v>
      </c>
      <c r="B31" t="str" cm="1">
        <f t="array" ref="B31">URL(A31)</f>
        <v>https://www.youtube.com/live/GMYN2t6bqPw?feature=share&amp;t=3613</v>
      </c>
      <c r="C31" t="str" cm="1">
        <f t="array" aca="1" ref="C31" ca="1">RIGHT(B31, LEN(B31) - MAX(IF(ISNUMBER(MID(B31, ROW(INDIRECT("1:"&amp;LEN(B31))), 1) *1)=FALSE, ROW(INDIRECT("1:"&amp;LEN(B31))), 0)))</f>
        <v>3613</v>
      </c>
    </row>
    <row r="32" spans="1:3" ht="15.6" thickTop="1" thickBot="1" x14ac:dyDescent="0.35">
      <c r="A32" s="5" t="s">
        <v>7</v>
      </c>
      <c r="B32" t="str" cm="1">
        <f t="array" ref="B32">URL(A32)</f>
        <v>https://www.youtube.com/live/GMYN2t6bqPw?feature=share&amp;t=4724</v>
      </c>
      <c r="C32" t="str" cm="1">
        <f t="array" aca="1" ref="C32" ca="1">RIGHT(B32, LEN(B32) - MAX(IF(ISNUMBER(MID(B32, ROW(INDIRECT("1:"&amp;LEN(B32))), 1) *1)=FALSE, ROW(INDIRECT("1:"&amp;LEN(B32))), 0)))</f>
        <v>4724</v>
      </c>
    </row>
    <row r="33" spans="1:3" ht="15" thickBot="1" x14ac:dyDescent="0.35">
      <c r="A33" s="5" t="s">
        <v>7</v>
      </c>
      <c r="B33" t="str" cm="1">
        <f t="array" ref="B33">URL(A33)</f>
        <v>https://www.youtube.com/live/GMYN2t6bqPw?feature=share&amp;t=4724</v>
      </c>
      <c r="C33" t="str" cm="1">
        <f t="array" aca="1" ref="C33" ca="1">RIGHT(B33, LEN(B33) - MAX(IF(ISNUMBER(MID(B33, ROW(INDIRECT("1:"&amp;LEN(B33))), 1) *1)=FALSE, ROW(INDIRECT("1:"&amp;LEN(B33))), 0)))</f>
        <v>4724</v>
      </c>
    </row>
    <row r="34" spans="1:3" ht="15" thickBot="1" x14ac:dyDescent="0.35">
      <c r="A34" s="5" t="s">
        <v>7</v>
      </c>
      <c r="B34" t="str" cm="1">
        <f t="array" ref="B34">URL(A34)</f>
        <v>https://www.youtube.com/live/GMYN2t6bqPw?feature=share&amp;t=4764</v>
      </c>
      <c r="C34" t="str" cm="1">
        <f t="array" aca="1" ref="C34" ca="1">RIGHT(B34, LEN(B34) - MAX(IF(ISNUMBER(MID(B34, ROW(INDIRECT("1:"&amp;LEN(B34))), 1) *1)=FALSE, ROW(INDIRECT("1:"&amp;LEN(B34))), 0)))</f>
        <v>4764</v>
      </c>
    </row>
    <row r="35" spans="1:3" ht="15" thickBot="1" x14ac:dyDescent="0.35">
      <c r="A35" s="5" t="s">
        <v>7</v>
      </c>
      <c r="B35" t="str" cm="1">
        <f t="array" ref="B35">URL(A35)</f>
        <v>https://www.youtube.com/live/GMYN2t6bqPw?feature=share&amp;t=4790</v>
      </c>
      <c r="C35" t="str" cm="1">
        <f t="array" aca="1" ref="C35" ca="1">RIGHT(B35, LEN(B35) - MAX(IF(ISNUMBER(MID(B35, ROW(INDIRECT("1:"&amp;LEN(B35))), 1) *1)=FALSE, ROW(INDIRECT("1:"&amp;LEN(B35))), 0)))</f>
        <v>4790</v>
      </c>
    </row>
    <row r="36" spans="1:3" ht="15" thickBot="1" x14ac:dyDescent="0.35">
      <c r="A36" s="4" t="s">
        <v>5</v>
      </c>
      <c r="B36" t="str" cm="1">
        <f t="array" ref="B36">URL(A36)</f>
        <v>https://www.youtube.com/live/GMYN2t6bqPw?feature=share&amp;t=5030</v>
      </c>
      <c r="C36" t="str" cm="1">
        <f t="array" aca="1" ref="C36" ca="1">RIGHT(B36, LEN(B36) - MAX(IF(ISNUMBER(MID(B36, ROW(INDIRECT("1:"&amp;LEN(B36))), 1) *1)=FALSE, ROW(INDIRECT("1:"&amp;LEN(B36))), 0)))</f>
        <v>5030</v>
      </c>
    </row>
    <row r="37" spans="1:3" ht="15" thickBot="1" x14ac:dyDescent="0.35">
      <c r="A37" s="5" t="s">
        <v>7</v>
      </c>
      <c r="B37" t="str" cm="1">
        <f t="array" ref="B37">URL(A37)</f>
        <v>https://www.youtube.com/live/GMYN2t6bqPw?feature=share&amp;t=5028</v>
      </c>
      <c r="C37" t="str" cm="1">
        <f t="array" aca="1" ref="C37" ca="1">RIGHT(B37, LEN(B37) - MAX(IF(ISNUMBER(MID(B37, ROW(INDIRECT("1:"&amp;LEN(B37))), 1) *1)=FALSE, ROW(INDIRECT("1:"&amp;LEN(B37))), 0)))</f>
        <v>5028</v>
      </c>
    </row>
    <row r="38" spans="1:3" ht="15" thickBot="1" x14ac:dyDescent="0.35">
      <c r="A38" s="4" t="s">
        <v>5</v>
      </c>
      <c r="B38" t="str" cm="1">
        <f t="array" ref="B38">URL(A38)</f>
        <v>https://www.youtube.com/live/GMYN2t6bqPw?feature=share&amp;t=5137</v>
      </c>
      <c r="C38" t="str" cm="1">
        <f t="array" aca="1" ref="C38" ca="1">RIGHT(B38, LEN(B38) - MAX(IF(ISNUMBER(MID(B38, ROW(INDIRECT("1:"&amp;LEN(B38))), 1) *1)=FALSE, ROW(INDIRECT("1:"&amp;LEN(B38))), 0)))</f>
        <v>5137</v>
      </c>
    </row>
    <row r="39" spans="1:3" ht="15" thickBot="1" x14ac:dyDescent="0.35">
      <c r="A39" s="5" t="s">
        <v>7</v>
      </c>
      <c r="B39" t="str" cm="1">
        <f t="array" ref="B39">URL(A39)</f>
        <v>https://www.youtube.com/live/GMYN2t6bqPw?feature=share&amp;t=5168</v>
      </c>
      <c r="C39" t="str" cm="1">
        <f t="array" aca="1" ref="C39" ca="1">RIGHT(B39, LEN(B39) - MAX(IF(ISNUMBER(MID(B39, ROW(INDIRECT("1:"&amp;LEN(B39))), 1) *1)=FALSE, ROW(INDIRECT("1:"&amp;LEN(B39))), 0)))</f>
        <v>5168</v>
      </c>
    </row>
    <row r="40" spans="1:3" ht="15" thickBot="1" x14ac:dyDescent="0.35">
      <c r="A40" s="7" t="s">
        <v>7</v>
      </c>
      <c r="B40" t="str" cm="1">
        <f t="array" ref="B40">URL(A40)</f>
        <v>https://www.youtube.com/live/GMYN2t6bqPw?feature=share&amp;t=5168</v>
      </c>
      <c r="C40" t="str" cm="1">
        <f t="array" aca="1" ref="C40" ca="1">RIGHT(B40, LEN(B40) - MAX(IF(ISNUMBER(MID(B40, ROW(INDIRECT("1:"&amp;LEN(B40))), 1) *1)=FALSE, ROW(INDIRECT("1:"&amp;LEN(B40))), 0)))</f>
        <v>5168</v>
      </c>
    </row>
    <row r="41" spans="1:3" ht="15.6" thickTop="1" thickBot="1" x14ac:dyDescent="0.35">
      <c r="A41" s="4" t="s">
        <v>5</v>
      </c>
      <c r="B41" t="str" cm="1">
        <f t="array" ref="B41">URL(A41)</f>
        <v>https://www.youtube.com/live/GMYN2t6bqPw?feature=share&amp;t=6175</v>
      </c>
      <c r="C41" t="str" cm="1">
        <f t="array" aca="1" ref="C41" ca="1">RIGHT(B41, LEN(B41) - MAX(IF(ISNUMBER(MID(B41, ROW(INDIRECT("1:"&amp;LEN(B41))), 1) *1)=FALSE, ROW(INDIRECT("1:"&amp;LEN(B41))), 0)))</f>
        <v>6175</v>
      </c>
    </row>
    <row r="42" spans="1:3" ht="15" thickBot="1" x14ac:dyDescent="0.35">
      <c r="A42" s="4" t="s">
        <v>5</v>
      </c>
      <c r="B42" t="str" cm="1">
        <f t="array" ref="B42">URL(A42)</f>
        <v>https://www.youtube.com/live/GMYN2t6bqPw?feature=share&amp;t=6456</v>
      </c>
      <c r="C42" t="str" cm="1">
        <f t="array" aca="1" ref="C42" ca="1">RIGHT(B42, LEN(B42) - MAX(IF(ISNUMBER(MID(B42, ROW(INDIRECT("1:"&amp;LEN(B42))), 1) *1)=FALSE, ROW(INDIRECT("1:"&amp;LEN(B42))), 0)))</f>
        <v>6456</v>
      </c>
    </row>
    <row r="43" spans="1:3" ht="15" thickBot="1" x14ac:dyDescent="0.35">
      <c r="A43" s="4" t="s">
        <v>5</v>
      </c>
      <c r="B43" t="str" cm="1">
        <f t="array" ref="B43">URL(A43)</f>
        <v>https://www.youtube.com/live/GMYN2t6bqPw?feature=share&amp;t=6654</v>
      </c>
      <c r="C43" t="str" cm="1">
        <f t="array" aca="1" ref="C43" ca="1">RIGHT(B43, LEN(B43) - MAX(IF(ISNUMBER(MID(B43, ROW(INDIRECT("1:"&amp;LEN(B43))), 1) *1)=FALSE, ROW(INDIRECT("1:"&amp;LEN(B43))), 0)))</f>
        <v>6654</v>
      </c>
    </row>
    <row r="44" spans="1:3" ht="15" thickBot="1" x14ac:dyDescent="0.35">
      <c r="A44" s="6" t="s">
        <v>5</v>
      </c>
      <c r="B44" t="str" cm="1">
        <f t="array" ref="B44">URL(A44)</f>
        <v>https://www.youtube.com/live/GMYN2t6bqPw?feature=share&amp;t=6756</v>
      </c>
      <c r="C44" t="str" cm="1">
        <f t="array" aca="1" ref="C44" ca="1">RIGHT(B44, LEN(B44) - MAX(IF(ISNUMBER(MID(B44, ROW(INDIRECT("1:"&amp;LEN(B44))), 1) *1)=FALSE, ROW(INDIRECT("1:"&amp;LEN(B44))), 0)))</f>
        <v>6756</v>
      </c>
    </row>
    <row r="45" spans="1:3" ht="15.6" thickTop="1" thickBot="1" x14ac:dyDescent="0.35">
      <c r="A45" s="4" t="s">
        <v>5</v>
      </c>
      <c r="B45" t="str" cm="1">
        <f t="array" ref="B45">URL(A45)</f>
        <v>https://www.youtube.com/live/GMYN2t6bqPw?feature=share&amp;t=10325</v>
      </c>
      <c r="C45" t="str" cm="1">
        <f t="array" aca="1" ref="C45" ca="1">RIGHT(B45, LEN(B45) - MAX(IF(ISNUMBER(MID(B45, ROW(INDIRECT("1:"&amp;LEN(B45))), 1) *1)=FALSE, ROW(INDIRECT("1:"&amp;LEN(B45))), 0)))</f>
        <v>10325</v>
      </c>
    </row>
    <row r="46" spans="1:3" ht="15" thickBot="1" x14ac:dyDescent="0.35">
      <c r="A46" s="4" t="s">
        <v>5</v>
      </c>
      <c r="B46" t="str" cm="1">
        <f t="array" ref="B46">URL(A46)</f>
        <v>https://www.youtube.com/live/GMYN2t6bqPw?feature=share&amp;t=10445</v>
      </c>
      <c r="C46" t="str" cm="1">
        <f t="array" aca="1" ref="C46" ca="1">RIGHT(B46, LEN(B46) - MAX(IF(ISNUMBER(MID(B46, ROW(INDIRECT("1:"&amp;LEN(B46))), 1) *1)=FALSE, ROW(INDIRECT("1:"&amp;LEN(B46))), 0)))</f>
        <v>10445</v>
      </c>
    </row>
    <row r="47" spans="1:3" ht="15" thickBot="1" x14ac:dyDescent="0.35">
      <c r="A47" s="4" t="s">
        <v>5</v>
      </c>
      <c r="B47" t="str" cm="1">
        <f t="array" ref="B47">URL(A47)</f>
        <v>https://www.youtube.com/live/GMYN2t6bqPw?feature=share&amp;t=10470</v>
      </c>
      <c r="C47" t="str" cm="1">
        <f t="array" aca="1" ref="C47" ca="1">RIGHT(B47, LEN(B47) - MAX(IF(ISNUMBER(MID(B47, ROW(INDIRECT("1:"&amp;LEN(B47))), 1) *1)=FALSE, ROW(INDIRECT("1:"&amp;LEN(B47))), 0)))</f>
        <v>10470</v>
      </c>
    </row>
    <row r="48" spans="1:3" ht="15" thickBot="1" x14ac:dyDescent="0.35">
      <c r="A48" s="5" t="s">
        <v>7</v>
      </c>
      <c r="B48" t="str" cm="1">
        <f t="array" ref="B48">URL(A48)</f>
        <v>https://www.youtube.com/live/GMYN2t6bqPw?feature=share&amp;t=10576</v>
      </c>
      <c r="C48" t="str" cm="1">
        <f t="array" aca="1" ref="C48" ca="1">RIGHT(B48, LEN(B48) - MAX(IF(ISNUMBER(MID(B48, ROW(INDIRECT("1:"&amp;LEN(B48))), 1) *1)=FALSE, ROW(INDIRECT("1:"&amp;LEN(B48))), 0)))</f>
        <v>10576</v>
      </c>
    </row>
    <row r="49" spans="1:3" ht="15" thickBot="1" x14ac:dyDescent="0.35">
      <c r="A49" s="4" t="s">
        <v>5</v>
      </c>
      <c r="B49" t="str" cm="1">
        <f t="array" ref="B49">URL(A49)</f>
        <v>https://www.youtube.com/live/GMYN2t6bqPw?feature=share&amp;t=10654</v>
      </c>
      <c r="C49" t="str" cm="1">
        <f t="array" aca="1" ref="C49" ca="1">RIGHT(B49, LEN(B49) - MAX(IF(ISNUMBER(MID(B49, ROW(INDIRECT("1:"&amp;LEN(B49))), 1) *1)=FALSE, ROW(INDIRECT("1:"&amp;LEN(B49))), 0)))</f>
        <v>10654</v>
      </c>
    </row>
    <row r="50" spans="1:3" ht="15" thickBot="1" x14ac:dyDescent="0.35">
      <c r="A50" s="4" t="s">
        <v>5</v>
      </c>
      <c r="B50" t="str" cm="1">
        <f t="array" ref="B50">URL(A50)</f>
        <v>https://www.youtube.com/live/GMYN2t6bqPw?feature=share&amp;t=10812</v>
      </c>
      <c r="C50" t="str" cm="1">
        <f t="array" aca="1" ref="C50" ca="1">RIGHT(B50, LEN(B50) - MAX(IF(ISNUMBER(MID(B50, ROW(INDIRECT("1:"&amp;LEN(B50))), 1) *1)=FALSE, ROW(INDIRECT("1:"&amp;LEN(B50))), 0)))</f>
        <v>10812</v>
      </c>
    </row>
    <row r="51" spans="1:3" ht="15" thickBot="1" x14ac:dyDescent="0.35">
      <c r="A51" s="4" t="s">
        <v>5</v>
      </c>
      <c r="B51" t="str" cm="1">
        <f t="array" ref="B51">URL(A51)</f>
        <v>https://www.youtube.com/live/GMYN2t6bqPw?feature=share&amp;t=10839</v>
      </c>
      <c r="C51" t="str" cm="1">
        <f t="array" aca="1" ref="C51" ca="1">RIGHT(B51, LEN(B51) - MAX(IF(ISNUMBER(MID(B51, ROW(INDIRECT("1:"&amp;LEN(B51))), 1) *1)=FALSE, ROW(INDIRECT("1:"&amp;LEN(B51))), 0)))</f>
        <v>10839</v>
      </c>
    </row>
    <row r="52" spans="1:3" ht="15" thickBot="1" x14ac:dyDescent="0.35">
      <c r="A52" s="4" t="s">
        <v>5</v>
      </c>
      <c r="B52" t="str" cm="1">
        <f t="array" ref="B52">URL(A52)</f>
        <v>https://www.youtube.com/live/GMYN2t6bqPw?feature=share&amp;t=10924</v>
      </c>
      <c r="C52" t="str" cm="1">
        <f t="array" aca="1" ref="C52" ca="1">RIGHT(B52, LEN(B52) - MAX(IF(ISNUMBER(MID(B52, ROW(INDIRECT("1:"&amp;LEN(B52))), 1) *1)=FALSE, ROW(INDIRECT("1:"&amp;LEN(B52))), 0)))</f>
        <v>10924</v>
      </c>
    </row>
    <row r="53" spans="1:3" ht="15" thickBot="1" x14ac:dyDescent="0.35">
      <c r="A53" s="4" t="s">
        <v>5</v>
      </c>
      <c r="B53" t="str" cm="1">
        <f t="array" ref="B53">URL(A53)</f>
        <v>https://www.youtube.com/live/GMYN2t6bqPw?feature=share&amp;t=10966</v>
      </c>
      <c r="C53" t="str" cm="1">
        <f t="array" aca="1" ref="C53" ca="1">RIGHT(B53, LEN(B53) - MAX(IF(ISNUMBER(MID(B53, ROW(INDIRECT("1:"&amp;LEN(B53))), 1) *1)=FALSE, ROW(INDIRECT("1:"&amp;LEN(B53))), 0)))</f>
        <v>10966</v>
      </c>
    </row>
    <row r="54" spans="1:3" ht="15" thickBot="1" x14ac:dyDescent="0.35">
      <c r="A54" s="5" t="s">
        <v>7</v>
      </c>
      <c r="B54" t="str" cm="1">
        <f t="array" ref="B54">URL(A54)</f>
        <v>https://www.youtube.com/live/GMYN2t6bqPw?feature=share&amp;t=11017</v>
      </c>
      <c r="C54" t="str" cm="1">
        <f t="array" aca="1" ref="C54" ca="1">RIGHT(B54, LEN(B54) - MAX(IF(ISNUMBER(MID(B54, ROW(INDIRECT("1:"&amp;LEN(B54))), 1) *1)=FALSE, ROW(INDIRECT("1:"&amp;LEN(B54))), 0)))</f>
        <v>11017</v>
      </c>
    </row>
    <row r="55" spans="1:3" ht="15" thickBot="1" x14ac:dyDescent="0.35">
      <c r="A55" s="7" t="s">
        <v>7</v>
      </c>
      <c r="B55" t="str" cm="1">
        <f t="array" ref="B55">URL(A55)</f>
        <v>https://www.youtube.com/live/GMYN2t6bqPw?feature=share&amp;t=11043</v>
      </c>
      <c r="C55" t="str" cm="1">
        <f t="array" aca="1" ref="C55" ca="1">RIGHT(B55, LEN(B55) - MAX(IF(ISNUMBER(MID(B55, ROW(INDIRECT("1:"&amp;LEN(B55))), 1) *1)=FALSE, ROW(INDIRECT("1:"&amp;LEN(B55))), 0)))</f>
        <v>11043</v>
      </c>
    </row>
    <row r="56" spans="1:3" ht="15.6" thickTop="1" thickBot="1" x14ac:dyDescent="0.35">
      <c r="A56" s="5" t="s">
        <v>7</v>
      </c>
      <c r="B56" t="str" cm="1">
        <f t="array" ref="B56">URL(A56)</f>
        <v>https://www.youtube.com/live/GMYN2t6bqPw?feature=share&amp;t=12347</v>
      </c>
      <c r="C56" t="str" cm="1">
        <f t="array" aca="1" ref="C56" ca="1">RIGHT(B56, LEN(B56) - MAX(IF(ISNUMBER(MID(B56, ROW(INDIRECT("1:"&amp;LEN(B56))), 1) *1)=FALSE, ROW(INDIRECT("1:"&amp;LEN(B56))), 0)))</f>
        <v>12347</v>
      </c>
    </row>
    <row r="57" spans="1:3" ht="15" thickBot="1" x14ac:dyDescent="0.35">
      <c r="A57" s="5" t="s">
        <v>7</v>
      </c>
      <c r="B57" t="str" cm="1">
        <f t="array" ref="B57">URL(A57)</f>
        <v>https://www.youtube.com/live/GMYN2t6bqPw?feature=share&amp;t=12398</v>
      </c>
      <c r="C57" t="str" cm="1">
        <f t="array" aca="1" ref="C57" ca="1">RIGHT(B57, LEN(B57) - MAX(IF(ISNUMBER(MID(B57, ROW(INDIRECT("1:"&amp;LEN(B57))), 1) *1)=FALSE, ROW(INDIRECT("1:"&amp;LEN(B57))), 0)))</f>
        <v>12398</v>
      </c>
    </row>
    <row r="58" spans="1:3" ht="15" thickBot="1" x14ac:dyDescent="0.35">
      <c r="A58" s="5" t="s">
        <v>7</v>
      </c>
      <c r="B58" t="str" cm="1">
        <f t="array" ref="B58">URL(A58)</f>
        <v>https://www.youtube.com/live/GMYN2t6bqPw?feature=share&amp;t=12424</v>
      </c>
      <c r="C58" t="str" cm="1">
        <f t="array" aca="1" ref="C58" ca="1">RIGHT(B58, LEN(B58) - MAX(IF(ISNUMBER(MID(B58, ROW(INDIRECT("1:"&amp;LEN(B58))), 1) *1)=FALSE, ROW(INDIRECT("1:"&amp;LEN(B58))), 0)))</f>
        <v>12424</v>
      </c>
    </row>
    <row r="59" spans="1:3" ht="15" thickBot="1" x14ac:dyDescent="0.35">
      <c r="A59" s="5" t="s">
        <v>7</v>
      </c>
      <c r="B59" t="str" cm="1">
        <f t="array" ref="B59">URL(A59)</f>
        <v>https://www.youtube.com/live/GMYN2t6bqPw?feature=share&amp;t=12446</v>
      </c>
      <c r="C59" t="str" cm="1">
        <f t="array" aca="1" ref="C59" ca="1">RIGHT(B59, LEN(B59) - MAX(IF(ISNUMBER(MID(B59, ROW(INDIRECT("1:"&amp;LEN(B59))), 1) *1)=FALSE, ROW(INDIRECT("1:"&amp;LEN(B59))), 0)))</f>
        <v>12446</v>
      </c>
    </row>
    <row r="60" spans="1:3" ht="15" thickBot="1" x14ac:dyDescent="0.35">
      <c r="A60" s="5" t="s">
        <v>7</v>
      </c>
      <c r="B60" t="str" cm="1">
        <f t="array" ref="B60">URL(A60)</f>
        <v>https://www.youtube.com/live/GMYN2t6bqPw?feature=share&amp;t=12503</v>
      </c>
      <c r="C60" t="str" cm="1">
        <f t="array" aca="1" ref="C60" ca="1">RIGHT(B60, LEN(B60) - MAX(IF(ISNUMBER(MID(B60, ROW(INDIRECT("1:"&amp;LEN(B60))), 1) *1)=FALSE, ROW(INDIRECT("1:"&amp;LEN(B60))), 0)))</f>
        <v>12503</v>
      </c>
    </row>
    <row r="61" spans="1:3" ht="15" thickBot="1" x14ac:dyDescent="0.35">
      <c r="A61" s="5" t="s">
        <v>7</v>
      </c>
      <c r="B61" t="str" cm="1">
        <f t="array" ref="B61">URL(A61)</f>
        <v>https://www.youtube.com/live/GMYN2t6bqPw?feature=share&amp;t=12600</v>
      </c>
      <c r="C61" t="str" cm="1">
        <f t="array" aca="1" ref="C61" ca="1">RIGHT(B61, LEN(B61) - MAX(IF(ISNUMBER(MID(B61, ROW(INDIRECT("1:"&amp;LEN(B61))), 1) *1)=FALSE, ROW(INDIRECT("1:"&amp;LEN(B61))), 0)))</f>
        <v>12600</v>
      </c>
    </row>
    <row r="62" spans="1:3" ht="15" thickBot="1" x14ac:dyDescent="0.35">
      <c r="A62" s="4" t="s">
        <v>5</v>
      </c>
      <c r="B62" t="str" cm="1">
        <f t="array" ref="B62">URL(A62)</f>
        <v>https://www.youtube.com/live/GMYN2t6bqPw?feature=share&amp;t=12696</v>
      </c>
      <c r="C62" t="str" cm="1">
        <f t="array" aca="1" ref="C62" ca="1">RIGHT(B62, LEN(B62) - MAX(IF(ISNUMBER(MID(B62, ROW(INDIRECT("1:"&amp;LEN(B62))), 1) *1)=FALSE, ROW(INDIRECT("1:"&amp;LEN(B62))), 0)))</f>
        <v>12696</v>
      </c>
    </row>
    <row r="63" spans="1:3" ht="15" thickBot="1" x14ac:dyDescent="0.35">
      <c r="A63" s="4" t="s">
        <v>5</v>
      </c>
      <c r="B63" t="str" cm="1">
        <f t="array" ref="B63">URL(A63)</f>
        <v>https://www.youtube.com/live/GMYN2t6bqPw?feature=share&amp;t=13075</v>
      </c>
      <c r="C63" t="str" cm="1">
        <f t="array" aca="1" ref="C63" ca="1">RIGHT(B63, LEN(B63) - MAX(IF(ISNUMBER(MID(B63, ROW(INDIRECT("1:"&amp;LEN(B63))), 1) *1)=FALSE, ROW(INDIRECT("1:"&amp;LEN(B63))), 0)))</f>
        <v>13075</v>
      </c>
    </row>
    <row r="64" spans="1:3" ht="15" thickBot="1" x14ac:dyDescent="0.35">
      <c r="A64" s="4" t="s">
        <v>5</v>
      </c>
      <c r="B64" t="str" cm="1">
        <f t="array" ref="B64">URL(A64)</f>
        <v>https://www.youtube.com/live/GMYN2t6bqPw?feature=share&amp;t=13101</v>
      </c>
      <c r="C64" t="str" cm="1">
        <f t="array" aca="1" ref="C64" ca="1">RIGHT(B64, LEN(B64) - MAX(IF(ISNUMBER(MID(B64, ROW(INDIRECT("1:"&amp;LEN(B64))), 1) *1)=FALSE, ROW(INDIRECT("1:"&amp;LEN(B64))), 0)))</f>
        <v>13101</v>
      </c>
    </row>
    <row r="65" spans="1:3" ht="15" thickBot="1" x14ac:dyDescent="0.35">
      <c r="A65" s="7" t="s">
        <v>7</v>
      </c>
      <c r="B65" t="str" cm="1">
        <f t="array" ref="B65">URL(A65)</f>
        <v>https://www.youtube.com/live/GMYN2t6bqPw?feature=share&amp;t=13123</v>
      </c>
      <c r="C65" t="str" cm="1">
        <f t="array" aca="1" ref="C65" ca="1">RIGHT(B65, LEN(B65) - MAX(IF(ISNUMBER(MID(B65, ROW(INDIRECT("1:"&amp;LEN(B65))), 1) *1)=FALSE, ROW(INDIRECT("1:"&amp;LEN(B65))), 0)))</f>
        <v>13123</v>
      </c>
    </row>
    <row r="66" spans="1:3" ht="15" thickTop="1" x14ac:dyDescent="0.3"/>
  </sheetData>
  <hyperlinks>
    <hyperlink ref="A1" r:id="rId1" display="https://www.youtube.com/live/GMYN2t6bqPw?feature=share&amp;t=1116" xr:uid="{FF1863C4-E1F1-4FD0-8214-CC9EBFE35C4D}"/>
    <hyperlink ref="A2" r:id="rId2" display="https://www.youtube.com/live/GMYN2t6bqPw?feature=share&amp;t=1162" xr:uid="{83708F0D-1F5E-4BDF-A4B3-C361A68636C0}"/>
    <hyperlink ref="A3" r:id="rId3" display="https://www.youtube.com/live/GMYN2t6bqPw?feature=share&amp;t=1289" xr:uid="{F6DED6D3-FC71-4054-8833-07D159A1C526}"/>
    <hyperlink ref="A4" r:id="rId4" display="https://www.youtube.com/live/GMYN2t6bqPw?feature=share&amp;t=1332" xr:uid="{78A86A34-B2C2-4119-AE0C-F3ECB2DD2886}"/>
    <hyperlink ref="A5" r:id="rId5" display="https://www.youtube.com/live/GMYN2t6bqPw?feature=share&amp;t=1362" xr:uid="{55613EEC-5462-4AFA-A09E-3006284040DF}"/>
    <hyperlink ref="A6" r:id="rId6" display="https://www.youtube.com/live/GMYN2t6bqPw?feature=share&amp;t=1404" xr:uid="{B3032962-9889-4536-AA08-2159BE152966}"/>
    <hyperlink ref="A7" r:id="rId7" display="https://www.youtube.com/live/GMYN2t6bqPw?feature=share&amp;t=1434" xr:uid="{0EDBF804-B859-4E11-B5DA-4DCD23CE4345}"/>
    <hyperlink ref="A8" r:id="rId8" display="https://www.youtube.com/live/GMYN2t6bqPw?feature=share&amp;t=1505" xr:uid="{ACA7D6EF-4D86-4D9A-BC98-852F74A3695D}"/>
    <hyperlink ref="A9" r:id="rId9" display="https://www.youtube.com/live/GMYN2t6bqPw?feature=share&amp;t=1505" xr:uid="{CF17DF33-29FC-47AE-8990-2F9DCD026236}"/>
    <hyperlink ref="A10" r:id="rId10" display="https://www.youtube.com/live/GMYN2t6bqPw?feature=share&amp;t=1546" xr:uid="{CEC4D4D3-F2E9-43A6-A119-DCEF32B431C6}"/>
    <hyperlink ref="A11" r:id="rId11" display="https://www.youtube.com/live/GMYN2t6bqPw?feature=share&amp;t=1596" xr:uid="{416A5248-3280-4100-A0F4-2CAAD73CA664}"/>
    <hyperlink ref="A12" r:id="rId12" display="https://www.youtube.com/live/GMYN2t6bqPw?feature=share&amp;t=1596" xr:uid="{276F61E3-6CCE-4C97-BB06-BAFBD44BC8C3}"/>
    <hyperlink ref="A13" r:id="rId13" display="https://www.youtube.com/live/GMYN2t6bqPw?feature=share&amp;t=3168" xr:uid="{5BB334E1-76C8-450C-B848-7697A4A848B6}"/>
    <hyperlink ref="A14" r:id="rId14" display="https://www.youtube.com/live/GMYN2t6bqPw?feature=share&amp;t=3256" xr:uid="{B0A5BFCC-3187-4765-827B-598AF0AA24A6}"/>
    <hyperlink ref="A15" r:id="rId15" display="https://www.youtube.com/live/GMYN2t6bqPw?feature=share&amp;t=3256" xr:uid="{4F8D879E-6018-4922-8C9F-E97B650AE81A}"/>
    <hyperlink ref="A16" r:id="rId16" display="https://www.youtube.com/live/GMYN2t6bqPw?feature=share&amp;t=3328" xr:uid="{25DCBB3E-9A3E-41EC-9E60-D5FF18FAD5CE}"/>
    <hyperlink ref="A17" r:id="rId17" display="https://www.youtube.com/live/GMYN2t6bqPw?feature=share&amp;t=3357" xr:uid="{001776B0-B8B2-4E7C-ABF0-39BF1742BAAA}"/>
    <hyperlink ref="A18" r:id="rId18" display="https://www.youtube.com/live/GMYN2t6bqPw?feature=share&amp;t=3357" xr:uid="{6F562D0F-133B-4F57-A2F8-85C864272FD2}"/>
    <hyperlink ref="A19" r:id="rId19" display="https://www.youtube.com/live/GMYN2t6bqPw?feature=share&amp;t=3357" xr:uid="{DEED759F-E70D-44AC-AAB2-CA3D78DE1E32}"/>
    <hyperlink ref="A20" r:id="rId20" display="https://www.youtube.com/live/GMYN2t6bqPw?feature=share&amp;t=3400" xr:uid="{F9F836BB-0A39-4289-9341-F2AE124C0A4B}"/>
    <hyperlink ref="A21" r:id="rId21" display="https://www.youtube.com/live/GMYN2t6bqPw?feature=share&amp;t=3431" xr:uid="{52F99E50-6CBF-469D-8539-7DEA29E0BC23}"/>
    <hyperlink ref="A22" r:id="rId22" display="https://www.youtube.com/live/GMYN2t6bqPw?feature=share&amp;t=3431" xr:uid="{4280C526-4B78-42CB-98D9-FF59CFD0E627}"/>
    <hyperlink ref="A23" r:id="rId23" display="https://www.youtube.com/live/GMYN2t6bqPw?feature=share&amp;t=3431" xr:uid="{13120F96-A045-48C7-A110-60699ED28742}"/>
    <hyperlink ref="A24" r:id="rId24" display="https://www.youtube.com/live/GMYN2t6bqPw?feature=share&amp;t=3483" xr:uid="{E2374ECC-32E5-4FDC-9E23-9E8164FB9F03}"/>
    <hyperlink ref="A25" r:id="rId25" display="https://www.youtube.com/live/GMYN2t6bqPw?feature=share&amp;t=3515" xr:uid="{8D35FE2D-A3F2-47A5-B487-77F981E3ADA5}"/>
    <hyperlink ref="A26" r:id="rId26" display="https://www.youtube.com/live/GMYN2t6bqPw?feature=share&amp;t=3515" xr:uid="{97D8482A-AA63-481D-93E1-EA36D11EE799}"/>
    <hyperlink ref="A27" r:id="rId27" display="https://www.youtube.com/live/GMYN2t6bqPw?feature=share&amp;t=3541" xr:uid="{64B8CBC2-C882-413C-98FC-DBE99421EC57}"/>
    <hyperlink ref="A28" r:id="rId28" display="https://www.youtube.com/live/GMYN2t6bqPw?feature=share&amp;t=3541" xr:uid="{40FCE58C-60AA-49DB-AE60-ECD4CDD3350D}"/>
    <hyperlink ref="A29" r:id="rId29" display="https://www.youtube.com/live/GMYN2t6bqPw?feature=share&amp;t=3541" xr:uid="{969A3425-7EC0-48C2-971D-F47FB83B7978}"/>
    <hyperlink ref="A30" r:id="rId30" display="https://www.youtube.com/live/GMYN2t6bqPw?feature=share&amp;t=3585" xr:uid="{2FC33344-E317-462E-B3DD-376EFBDC3E12}"/>
    <hyperlink ref="A31" r:id="rId31" display="https://www.youtube.com/live/GMYN2t6bqPw?feature=share&amp;t=3613" xr:uid="{BE194E35-964D-43DF-88E0-5FD40EAB6E71}"/>
    <hyperlink ref="A32" r:id="rId32" display="https://www.youtube.com/live/GMYN2t6bqPw?feature=share&amp;t=4724" xr:uid="{74F1D10E-E74C-4DE4-8B5F-B4A8F34AD9A4}"/>
    <hyperlink ref="A33" r:id="rId33" display="https://www.youtube.com/live/GMYN2t6bqPw?feature=share&amp;t=4724" xr:uid="{33A317CA-5AC2-413C-9CEE-C69F7B412335}"/>
    <hyperlink ref="A34" r:id="rId34" display="https://www.youtube.com/live/GMYN2t6bqPw?feature=share&amp;t=4764" xr:uid="{09F4671B-3DE6-4DEA-8A5C-BD1591F267A1}"/>
    <hyperlink ref="A35" r:id="rId35" display="https://www.youtube.com/live/GMYN2t6bqPw?feature=share&amp;t=4790" xr:uid="{3C644922-40BB-47BD-8A74-3FCA8E58144E}"/>
    <hyperlink ref="A36" r:id="rId36" display="https://www.youtube.com/live/GMYN2t6bqPw?feature=share&amp;t=5030" xr:uid="{011AD275-3A97-4A51-81BA-DE162085795C}"/>
    <hyperlink ref="A37" r:id="rId37" display="https://www.youtube.com/live/GMYN2t6bqPw?feature=share&amp;t=5028" xr:uid="{8481E5F6-3199-4E19-A5CC-CCBC3679C7A4}"/>
    <hyperlink ref="A38" r:id="rId38" display="https://www.youtube.com/live/GMYN2t6bqPw?feature=share&amp;t=5137" xr:uid="{EB84319B-6650-4CAF-B71E-37B3214D1D2C}"/>
    <hyperlink ref="A39" r:id="rId39" display="https://www.youtube.com/live/GMYN2t6bqPw?feature=share&amp;t=5168" xr:uid="{1B5337EC-7105-4D4F-8C23-33D7EDE01349}"/>
    <hyperlink ref="A40" r:id="rId40" display="https://www.youtube.com/live/GMYN2t6bqPw?feature=share&amp;t=5168" xr:uid="{241A64AD-8D58-48BA-AF8E-2976F29C1486}"/>
    <hyperlink ref="A41" r:id="rId41" display="https://www.youtube.com/live/GMYN2t6bqPw?feature=share&amp;t=6175" xr:uid="{F95E12FF-88E9-490E-A241-DC6E0B174266}"/>
    <hyperlink ref="A42" r:id="rId42" display="https://www.youtube.com/live/GMYN2t6bqPw?feature=share&amp;t=6456" xr:uid="{E470AB10-3699-459A-BC71-D3A915DB6C3E}"/>
    <hyperlink ref="A43" r:id="rId43" display="https://www.youtube.com/live/GMYN2t6bqPw?feature=share&amp;t=6654" xr:uid="{FFFF99F6-3327-4A28-8E81-356AB8918FC9}"/>
    <hyperlink ref="A44" r:id="rId44" display="https://www.youtube.com/live/GMYN2t6bqPw?feature=share&amp;t=6756" xr:uid="{2B5D9C0E-1631-4BEB-B093-5953CA466B09}"/>
    <hyperlink ref="A45" r:id="rId45" display="https://www.youtube.com/live/GMYN2t6bqPw?feature=share&amp;t=10325" xr:uid="{2153829F-94BB-4410-A66A-8827F3609868}"/>
    <hyperlink ref="A46" r:id="rId46" display="https://www.youtube.com/live/GMYN2t6bqPw?feature=share&amp;t=10445" xr:uid="{E23A7418-96B1-43B0-948B-1BCD6A7FE9CD}"/>
    <hyperlink ref="A47" r:id="rId47" display="https://www.youtube.com/live/GMYN2t6bqPw?feature=share&amp;t=10470" xr:uid="{8CCDC94C-8A68-4B43-AC64-B6D9D76108D8}"/>
    <hyperlink ref="A48" r:id="rId48" display="https://www.youtube.com/live/GMYN2t6bqPw?feature=share&amp;t=10576" xr:uid="{E3D71A15-BBA4-4364-AF85-E07EF814874B}"/>
    <hyperlink ref="A49" r:id="rId49" display="https://www.youtube.com/live/GMYN2t6bqPw?feature=share&amp;t=10654" xr:uid="{351295E2-8898-4E0A-8F28-C87F436F6627}"/>
    <hyperlink ref="A50" r:id="rId50" display="https://www.youtube.com/live/GMYN2t6bqPw?feature=share&amp;t=10812" xr:uid="{DE469202-073B-4984-BB3D-4400F27FD919}"/>
    <hyperlink ref="A51" r:id="rId51" display="https://www.youtube.com/live/GMYN2t6bqPw?feature=share&amp;t=10839" xr:uid="{1A872E6E-7C6F-4E87-8A35-1665EE4F7462}"/>
    <hyperlink ref="A52" r:id="rId52" display="https://www.youtube.com/live/GMYN2t6bqPw?feature=share&amp;t=10924" xr:uid="{32EE7FDE-A6A0-49CE-985D-8E916A1E37DC}"/>
    <hyperlink ref="A53" r:id="rId53" display="https://www.youtube.com/live/GMYN2t6bqPw?feature=share&amp;t=10966" xr:uid="{1F75D766-F2FA-4A16-A3C8-15502AE1757D}"/>
    <hyperlink ref="A54" r:id="rId54" display="https://www.youtube.com/live/GMYN2t6bqPw?feature=share&amp;t=11017" xr:uid="{80828D1C-4AF6-435A-9DA5-F1F0A348BCC7}"/>
    <hyperlink ref="A55" r:id="rId55" display="https://www.youtube.com/live/GMYN2t6bqPw?feature=share&amp;t=11043" xr:uid="{B3B93B65-5F33-4E28-A63B-5A25FB7079F8}"/>
    <hyperlink ref="A56" r:id="rId56" display="https://www.youtube.com/live/GMYN2t6bqPw?feature=share&amp;t=12347" xr:uid="{D1DDD84C-B704-4EC1-BBC0-F8B0A8BA30D1}"/>
    <hyperlink ref="A57" r:id="rId57" display="https://www.youtube.com/live/GMYN2t6bqPw?feature=share&amp;t=12398" xr:uid="{12B13D83-E91D-4BBA-8860-76A9445648AA}"/>
    <hyperlink ref="A58" r:id="rId58" display="https://www.youtube.com/live/GMYN2t6bqPw?feature=share&amp;t=12424" xr:uid="{E453B8EF-5991-424F-AF58-94E5BD718CC2}"/>
    <hyperlink ref="A59" r:id="rId59" display="https://www.youtube.com/live/GMYN2t6bqPw?feature=share&amp;t=12446" xr:uid="{49823077-B3FA-4C8E-9DB0-8B2FD7CC612F}"/>
    <hyperlink ref="A60" r:id="rId60" display="https://www.youtube.com/live/GMYN2t6bqPw?feature=share&amp;t=12503" xr:uid="{F8B7AF1C-02CD-4CEF-A4FF-FB02EFD2C693}"/>
    <hyperlink ref="A61" r:id="rId61" display="https://www.youtube.com/live/GMYN2t6bqPw?feature=share&amp;t=12600" xr:uid="{E9A91D30-97E2-4D8F-9F85-E0919A3ACD79}"/>
    <hyperlink ref="A62" r:id="rId62" display="https://www.youtube.com/live/GMYN2t6bqPw?feature=share&amp;t=12696" xr:uid="{FB8DE254-5FBF-404E-A368-CD98D134A87D}"/>
    <hyperlink ref="A63" r:id="rId63" display="https://www.youtube.com/live/GMYN2t6bqPw?feature=share&amp;t=13075" xr:uid="{F1EA3725-EEB9-473B-9B52-EAA978E5F25F}"/>
    <hyperlink ref="A64" r:id="rId64" display="https://www.youtube.com/live/GMYN2t6bqPw?feature=share&amp;t=13101" xr:uid="{99337573-1A10-4ED6-AD4B-B52266450D0D}"/>
    <hyperlink ref="A65" r:id="rId65" display="https://www.youtube.com/live/GMYN2t6bqPw?feature=share&amp;t=13123" xr:uid="{0151C26E-0F5A-4BB4-9072-EB27BDB7D205}"/>
  </hyperlinks>
  <pageMargins left="0.7" right="0.7" top="0.75" bottom="0.75" header="0.3" footer="0.3"/>
  <pageSetup paperSize="9" orientation="portrait" horizontalDpi="4294967293" verticalDpi="0" r:id="rId6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Game Start Times</vt:lpstr>
      <vt:lpstr>Team Sheet</vt:lpstr>
      <vt:lpstr>Scrims Day 1</vt:lpstr>
      <vt:lpstr>Scrims Day 2</vt:lpstr>
      <vt:lpstr>Scrims Day 3</vt:lpstr>
      <vt:lpstr>Scrims Day 4</vt:lpstr>
      <vt:lpstr>Scrims Day 5</vt:lpstr>
      <vt:lpstr>Scrims Day 6</vt:lpstr>
      <vt:lpstr>Timestamp Extractor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pang khang jer</dc:creator>
  <cp:lastModifiedBy>pang khang jer</cp:lastModifiedBy>
  <dcterms:created xsi:type="dcterms:W3CDTF">2015-06-05T18:17:20Z</dcterms:created>
  <dcterms:modified xsi:type="dcterms:W3CDTF">2023-04-15T10:51:57Z</dcterms:modified>
</cp:coreProperties>
</file>