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gk\Documents\DataAnalysis\VSaikyo\data\"/>
    </mc:Choice>
  </mc:AlternateContent>
  <xr:revisionPtr revIDLastSave="0" documentId="13_ncr:1_{F693C989-B9F7-4D37-AECD-9A6150379606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Game Start Times" sheetId="2" r:id="rId1"/>
    <sheet name="Scrims Day 1" sheetId="1" r:id="rId2"/>
    <sheet name="Scrims Day 2" sheetId="4" r:id="rId3"/>
    <sheet name="Scrims Day 3" sheetId="5" r:id="rId4"/>
    <sheet name="Scrims Day 4" sheetId="6" r:id="rId5"/>
    <sheet name="Scrims Day 5" sheetId="7" r:id="rId6"/>
    <sheet name="Scrims Day 6" sheetId="8" r:id="rId7"/>
    <sheet name="Timestamp Extractor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5" l="1"/>
  <c r="F23" i="5"/>
  <c r="F24" i="5"/>
  <c r="F25" i="5"/>
  <c r="F26" i="5"/>
  <c r="F27" i="5"/>
  <c r="F28" i="5"/>
  <c r="F29" i="5"/>
  <c r="F30" i="5"/>
  <c r="F31" i="5"/>
  <c r="F21" i="5"/>
  <c r="F17" i="5"/>
  <c r="F18" i="5"/>
  <c r="F19" i="5"/>
  <c r="F20" i="5"/>
  <c r="F16" i="5"/>
  <c r="F11" i="5"/>
  <c r="F12" i="5"/>
  <c r="F13" i="5"/>
  <c r="F14" i="5"/>
  <c r="F15" i="5"/>
  <c r="F10" i="5"/>
  <c r="F9" i="5"/>
  <c r="F8" i="5"/>
  <c r="F6" i="5"/>
  <c r="F7" i="5"/>
  <c r="F5" i="5"/>
  <c r="F3" i="5"/>
  <c r="F4" i="5"/>
  <c r="F2" i="5"/>
  <c r="F38" i="4"/>
  <c r="F37" i="4"/>
  <c r="F32" i="4"/>
  <c r="F33" i="4"/>
  <c r="F34" i="4"/>
  <c r="F35" i="4"/>
  <c r="F36" i="4"/>
  <c r="F31" i="4"/>
  <c r="F22" i="4"/>
  <c r="F23" i="4"/>
  <c r="F24" i="4"/>
  <c r="F25" i="4"/>
  <c r="F26" i="4"/>
  <c r="F27" i="4"/>
  <c r="F28" i="4"/>
  <c r="F29" i="4"/>
  <c r="F30" i="4"/>
  <c r="F21" i="4"/>
  <c r="F12" i="4"/>
  <c r="F13" i="4"/>
  <c r="F14" i="4"/>
  <c r="F15" i="4"/>
  <c r="F16" i="4"/>
  <c r="F17" i="4"/>
  <c r="F18" i="4"/>
  <c r="F19" i="4"/>
  <c r="F20" i="4"/>
  <c r="F11" i="4"/>
  <c r="F10" i="4"/>
  <c r="F9" i="4"/>
  <c r="F3" i="4"/>
  <c r="F4" i="4"/>
  <c r="F5" i="4"/>
  <c r="F6" i="4"/>
  <c r="F7" i="4"/>
  <c r="F8" i="4"/>
  <c r="F2" i="4"/>
  <c r="B2" i="3" a="1"/>
  <c r="B6" i="3" a="1"/>
  <c r="B10" i="3" a="1"/>
  <c r="B14" i="3" a="1"/>
  <c r="B18" i="3" a="1"/>
  <c r="B22" i="3" a="1"/>
  <c r="B26" i="3" a="1"/>
  <c r="B30" i="3" a="1"/>
  <c r="B16" i="3" a="1"/>
  <c r="B28" i="3" a="1"/>
  <c r="B25" i="3" a="1"/>
  <c r="B11" i="3" a="1"/>
  <c r="B20" i="3" a="1"/>
  <c r="B29" i="3" a="1"/>
  <c r="B3" i="3" a="1"/>
  <c r="B7" i="3" a="1"/>
  <c r="B15" i="3" a="1"/>
  <c r="B19" i="3" a="1"/>
  <c r="B23" i="3" a="1"/>
  <c r="B27" i="3" a="1"/>
  <c r="B12" i="3" a="1"/>
  <c r="B21" i="3" a="1"/>
  <c r="B8" i="3" a="1"/>
  <c r="B4" i="3" a="1"/>
  <c r="B5" i="3" a="1"/>
  <c r="B9" i="3" a="1"/>
  <c r="B13" i="3" a="1"/>
  <c r="B17" i="3" a="1"/>
  <c r="B24" i="3" a="1"/>
  <c r="B1" i="3" a="1"/>
  <c r="B24" i="3" l="1"/>
  <c r="B17" i="3"/>
  <c r="B13" i="3"/>
  <c r="B9" i="3"/>
  <c r="B5" i="3"/>
  <c r="B4" i="3"/>
  <c r="B8" i="3"/>
  <c r="B21" i="3"/>
  <c r="B12" i="3"/>
  <c r="B27" i="3"/>
  <c r="B23" i="3"/>
  <c r="B19" i="3"/>
  <c r="B15" i="3"/>
  <c r="B7" i="3"/>
  <c r="B3" i="3"/>
  <c r="B29" i="3"/>
  <c r="B20" i="3"/>
  <c r="B11" i="3"/>
  <c r="B25" i="3"/>
  <c r="B28" i="3"/>
  <c r="B16" i="3"/>
  <c r="B30" i="3"/>
  <c r="B26" i="3"/>
  <c r="B22" i="3"/>
  <c r="B18" i="3"/>
  <c r="B14" i="3"/>
  <c r="B10" i="3"/>
  <c r="B6" i="3"/>
  <c r="B2" i="3"/>
  <c r="B1" i="3"/>
  <c r="C17" i="3" a="1"/>
  <c r="C27" i="3" a="1"/>
  <c r="C20" i="3" a="1"/>
  <c r="C23" i="3" a="1"/>
  <c r="C25" i="3" a="1"/>
  <c r="C19" i="3" a="1"/>
  <c r="C28" i="3" a="1"/>
  <c r="C15" i="3" a="1"/>
  <c r="C26" i="3" a="1"/>
  <c r="C29" i="3" a="1"/>
  <c r="C18" i="3" a="1"/>
  <c r="C16" i="3" a="1"/>
  <c r="C22" i="3" a="1"/>
  <c r="C21" i="3" a="1"/>
  <c r="C24" i="3" a="1"/>
  <c r="C30" i="3" a="1"/>
  <c r="C13" i="3" a="1"/>
  <c r="C10" i="3" a="1"/>
  <c r="C9" i="3" a="1"/>
  <c r="C6" i="3" a="1"/>
  <c r="C8" i="3" a="1"/>
  <c r="C14" i="3" a="1"/>
  <c r="C5" i="3" a="1"/>
  <c r="C2" i="3" a="1"/>
  <c r="C4" i="3" a="1"/>
  <c r="C7" i="3" a="1"/>
  <c r="C1" i="3" a="1"/>
  <c r="C3" i="3" a="1"/>
  <c r="C11" i="3" a="1"/>
  <c r="C12" i="3" a="1"/>
  <c r="C24" i="3" l="1"/>
  <c r="C21" i="3"/>
  <c r="C22" i="3"/>
  <c r="C16" i="3"/>
  <c r="C18" i="3"/>
  <c r="C29" i="3"/>
  <c r="C26" i="3"/>
  <c r="C15" i="3"/>
  <c r="C28" i="3"/>
  <c r="C19" i="3"/>
  <c r="C25" i="3"/>
  <c r="C23" i="3"/>
  <c r="C20" i="3"/>
  <c r="C27" i="3"/>
  <c r="C17" i="3"/>
  <c r="C30" i="3"/>
  <c r="C12" i="3"/>
  <c r="C11" i="3"/>
  <c r="C3" i="3"/>
  <c r="C1" i="3"/>
  <c r="C7" i="3"/>
  <c r="C4" i="3"/>
  <c r="C2" i="3"/>
  <c r="C5" i="3"/>
  <c r="C14" i="3"/>
  <c r="C8" i="3"/>
  <c r="C6" i="3"/>
  <c r="C9" i="3"/>
  <c r="C10" i="3"/>
  <c r="C13" i="3"/>
  <c r="F43" i="1"/>
  <c r="F44" i="1"/>
  <c r="F45" i="1"/>
  <c r="F46" i="1"/>
  <c r="F47" i="1"/>
  <c r="F48" i="1"/>
  <c r="F49" i="1"/>
  <c r="F42" i="1"/>
  <c r="F37" i="1"/>
  <c r="F38" i="1"/>
  <c r="F39" i="1"/>
  <c r="F40" i="1"/>
  <c r="F41" i="1"/>
  <c r="F36" i="1"/>
  <c r="F24" i="1"/>
  <c r="F25" i="1"/>
  <c r="F26" i="1"/>
  <c r="F27" i="1"/>
  <c r="F28" i="1"/>
  <c r="F29" i="1"/>
  <c r="F30" i="1"/>
  <c r="F31" i="1"/>
  <c r="F32" i="1"/>
  <c r="F33" i="1"/>
  <c r="F34" i="1"/>
  <c r="F35" i="1"/>
  <c r="F23" i="1"/>
  <c r="F14" i="1"/>
  <c r="F15" i="1"/>
  <c r="F16" i="1"/>
  <c r="F17" i="1"/>
  <c r="F18" i="1"/>
  <c r="F19" i="1"/>
  <c r="F20" i="1"/>
  <c r="F21" i="1"/>
  <c r="F22" i="1"/>
  <c r="F13" i="1"/>
  <c r="F3" i="1"/>
  <c r="F4" i="1"/>
  <c r="F5" i="1"/>
  <c r="F6" i="1"/>
  <c r="F7" i="1"/>
  <c r="F8" i="1"/>
  <c r="F9" i="1"/>
  <c r="F10" i="1"/>
  <c r="F11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<sst xmlns="http://schemas.openxmlformats.org/spreadsheetml/2006/main" count="452" uniqueCount="100">
  <si>
    <t>Game</t>
  </si>
  <si>
    <t>Round</t>
  </si>
  <si>
    <t>Time Remaining</t>
  </si>
  <si>
    <t>Target</t>
  </si>
  <si>
    <t>Comments</t>
  </si>
  <si>
    <t>No</t>
  </si>
  <si>
    <t>VS. Jewel Box</t>
  </si>
  <si>
    <t>Yes</t>
  </si>
  <si>
    <t>Tsuna Nekota</t>
  </si>
  <si>
    <t>Jewel Box</t>
  </si>
  <si>
    <t>First friend lost: his CR Cup 10 teammate</t>
  </si>
  <si>
    <t>VS. Epicenter, Make Way and Dekani9</t>
  </si>
  <si>
    <t>Close call but all damage to Qpi was from Nemesis</t>
  </si>
  <si>
    <t>Hizaki Gamma</t>
  </si>
  <si>
    <t>Dekani9</t>
  </si>
  <si>
    <t>VS. KGH; Eaten by Shiina's pylon</t>
  </si>
  <si>
    <t>VS. Dekani9</t>
  </si>
  <si>
    <t>Kanae</t>
  </si>
  <si>
    <t>Team Solo NIJISANJI</t>
  </si>
  <si>
    <t>Honma Himawari</t>
  </si>
  <si>
    <t>Kansai Genki Hoan Kyoukai</t>
  </si>
  <si>
    <t>Sliding Triple-Hit Riot Drill onto Kansai Genki Hoan Kyoukai</t>
  </si>
  <si>
    <t>Shiina Yuika</t>
  </si>
  <si>
    <t>First Riot Drill Knock</t>
  </si>
  <si>
    <t>Utai Meika</t>
  </si>
  <si>
    <t>Aruse Inu</t>
  </si>
  <si>
    <t>StarReiDogs</t>
  </si>
  <si>
    <t>VS. DatsuCustomBancho</t>
  </si>
  <si>
    <t>Kuga Leo</t>
  </si>
  <si>
    <t>DatsuCustomBancho</t>
  </si>
  <si>
    <t>Triple-Hit Riot Drill onto DatsuCustomBancho</t>
  </si>
  <si>
    <t>Pakael</t>
  </si>
  <si>
    <t>First Riot Drill Kill</t>
  </si>
  <si>
    <t>Hoshikawa Sara</t>
  </si>
  <si>
    <t>Second Riot Drill Kill</t>
  </si>
  <si>
    <t>Shirayuki Reid</t>
  </si>
  <si>
    <t>Third Riot Drill Kill</t>
  </si>
  <si>
    <t>Baited by Selen (ft. Regis &amp; Axel)</t>
  </si>
  <si>
    <t>Ex Albio</t>
  </si>
  <si>
    <t>AQF</t>
  </si>
  <si>
    <t>Kaminari Qpi</t>
  </si>
  <si>
    <t>Close fight; Qpi got her revenge from last game</t>
  </si>
  <si>
    <t>Kuzuha</t>
  </si>
  <si>
    <t>VS. Gorilla Transportation and Dekani9</t>
  </si>
  <si>
    <t>Inui Shinichiro</t>
  </si>
  <si>
    <t>InutoLion</t>
  </si>
  <si>
    <t>Backup POV from Hira Hikari</t>
  </si>
  <si>
    <t>Match Duration</t>
  </si>
  <si>
    <t>Ring Closing</t>
  </si>
  <si>
    <t>Hit</t>
  </si>
  <si>
    <t>Target Team</t>
  </si>
  <si>
    <t>Start Time</t>
  </si>
  <si>
    <t>Time Stamp Value</t>
  </si>
  <si>
    <t>Day</t>
  </si>
  <si>
    <t>Hira Hikari</t>
  </si>
  <si>
    <t>Close call thanks to Inui's Black Market</t>
  </si>
  <si>
    <t>Aizawa Ema</t>
  </si>
  <si>
    <t>3Seiketsu</t>
  </si>
  <si>
    <t>VS. Jewel Box and 3Seiketsu</t>
  </si>
  <si>
    <t>Natsuiro Matsuri</t>
  </si>
  <si>
    <t>Elu</t>
  </si>
  <si>
    <t>Hunted by Mad Maggie after Ema went down</t>
  </si>
  <si>
    <t>Jewel Box vs. 3Seiketsu with Starry Sky Magic as interference</t>
  </si>
  <si>
    <t>Yakumo Beni</t>
  </si>
  <si>
    <t>Tokoyami Towa</t>
  </si>
  <si>
    <t>Ichinose Uruha</t>
  </si>
  <si>
    <t>Team Ichinose</t>
  </si>
  <si>
    <t>CR Cup 10's most drilled victim gets drilled again</t>
  </si>
  <si>
    <t>Ibrahim</t>
  </si>
  <si>
    <t>Occupying the neighboring building is Pink à la Mode</t>
  </si>
  <si>
    <t>VS. StarReiDogs</t>
  </si>
  <si>
    <t>Axel Syrios</t>
  </si>
  <si>
    <t>Team Snake Bite</t>
  </si>
  <si>
    <t>VS. DatsuCustomBancho and Jewel Box</t>
  </si>
  <si>
    <t>Rikka escaped the last fight so Pakael could have his revenge</t>
  </si>
  <si>
    <t>Oof... missed traded for 2 charge rifle shots</t>
  </si>
  <si>
    <t>Meddling in Jewel Box vs. Dekani9, triple drill</t>
  </si>
  <si>
    <t>Shinomiya Runa</t>
  </si>
  <si>
    <t>Hanabusa Lisa</t>
  </si>
  <si>
    <t>Pink Brain</t>
  </si>
  <si>
    <t>Triple drill onto Pink Brain; Tense fight vs. Pink Brain</t>
  </si>
  <si>
    <t>Fura Kanato</t>
  </si>
  <si>
    <t>Makaino Ririmu</t>
  </si>
  <si>
    <t>Shishigami Leona</t>
  </si>
  <si>
    <t>VS. InutoLion</t>
  </si>
  <si>
    <t>Higuchi Kaede</t>
  </si>
  <si>
    <t>Maple Nuts Bunny-dayo</t>
  </si>
  <si>
    <t>VS. Maple Nuts Bunny-dayo (ft. a tired Kaede and Mimi)</t>
  </si>
  <si>
    <t>Tosaki Mimi</t>
  </si>
  <si>
    <t>Mimi screams</t>
  </si>
  <si>
    <t>Kurumi Noah</t>
  </si>
  <si>
    <t>Distracted by a 3rd party (Team Hinano)</t>
  </si>
  <si>
    <t>Aimed towards Team Snake Bite vs. AQF</t>
  </si>
  <si>
    <t>Aimed towards Pink Brain</t>
  </si>
  <si>
    <t>lol</t>
  </si>
  <si>
    <t>Aimed at Leona from InutoLion</t>
  </si>
  <si>
    <t>Aimed at KGH; drill eaten by Shiina's pylon?</t>
  </si>
  <si>
    <t>Harassing KGH</t>
  </si>
  <si>
    <t>Aimed at Niu from Gorilla Transportation</t>
  </si>
  <si>
    <t>Another triple drill onto Pink Brain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</si>
</sst>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0" borderId="0" xfId="0" applyNumberFormat="1"/>
    <xf numFmtId="0" fontId="1" fillId="3" borderId="2" xfId="1" applyFill="1" applyBorder="1" applyAlignment="1">
      <alignment horizontal="center" wrapText="1"/>
    </xf>
    <xf numFmtId="0" fontId="1" fillId="2" borderId="2" xfId="1" applyFill="1" applyBorder="1" applyAlignment="1">
      <alignment horizontal="center" wrapText="1"/>
    </xf>
    <xf numFmtId="0" fontId="1" fillId="3" borderId="3" xfId="1" applyFill="1" applyBorder="1" applyAlignment="1">
      <alignment horizontal="center" wrapText="1"/>
    </xf>
    <xf numFmtId="0" fontId="1" fillId="2" borderId="3" xfId="1" applyFill="1" applyBorder="1" applyAlignment="1">
      <alignment horizontal="center" wrapText="1"/>
    </xf>
    <xf numFmtId="0" fontId="1" fillId="3" borderId="1" xfId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6332-B4EC-4CBE-844F-A909EAC0D071}">
  <sheetPr codeName="Sheet1"/>
  <dimension ref="A1:C20"/>
  <sheetViews>
    <sheetView workbookViewId="0">
      <selection activeCell="C19" sqref="C19"/>
    </sheetView>
  </sheetViews>
  <sheetFormatPr defaultRowHeight="14.4" x14ac:dyDescent="0.3"/>
  <cols>
    <col min="3" max="3" width="15" style="2" customWidth="1"/>
  </cols>
  <sheetData>
    <row r="1" spans="1:3" x14ac:dyDescent="0.3">
      <c r="A1" t="s">
        <v>53</v>
      </c>
      <c r="B1" t="s">
        <v>0</v>
      </c>
      <c r="C1" s="2" t="s">
        <v>51</v>
      </c>
    </row>
    <row r="2" spans="1:3" x14ac:dyDescent="0.3">
      <c r="A2">
        <v>1</v>
      </c>
      <c r="B2">
        <v>1</v>
      </c>
      <c r="C2" s="2">
        <v>145</v>
      </c>
    </row>
    <row r="3" spans="1:3" x14ac:dyDescent="0.3">
      <c r="B3">
        <v>2</v>
      </c>
      <c r="C3" s="2">
        <v>1955</v>
      </c>
    </row>
    <row r="4" spans="1:3" x14ac:dyDescent="0.3">
      <c r="B4">
        <v>3</v>
      </c>
      <c r="C4" s="2">
        <v>3742</v>
      </c>
    </row>
    <row r="5" spans="1:3" x14ac:dyDescent="0.3">
      <c r="B5">
        <v>4</v>
      </c>
      <c r="C5" s="2">
        <v>5460</v>
      </c>
    </row>
    <row r="6" spans="1:3" x14ac:dyDescent="0.3">
      <c r="B6">
        <v>5</v>
      </c>
      <c r="C6" s="2">
        <v>7138</v>
      </c>
    </row>
    <row r="7" spans="1:3" x14ac:dyDescent="0.3">
      <c r="B7">
        <v>6</v>
      </c>
      <c r="C7" s="2">
        <v>8798</v>
      </c>
    </row>
    <row r="8" spans="1:3" x14ac:dyDescent="0.3">
      <c r="A8">
        <v>2</v>
      </c>
      <c r="B8">
        <v>1</v>
      </c>
      <c r="C8" s="2">
        <v>294</v>
      </c>
    </row>
    <row r="9" spans="1:3" x14ac:dyDescent="0.3">
      <c r="B9">
        <v>2</v>
      </c>
      <c r="C9" s="2">
        <v>2307</v>
      </c>
    </row>
    <row r="10" spans="1:3" x14ac:dyDescent="0.3">
      <c r="B10">
        <v>3</v>
      </c>
      <c r="C10" s="2">
        <v>4101</v>
      </c>
    </row>
    <row r="11" spans="1:3" x14ac:dyDescent="0.3">
      <c r="B11">
        <v>4</v>
      </c>
      <c r="C11" s="2">
        <v>5900</v>
      </c>
    </row>
    <row r="12" spans="1:3" x14ac:dyDescent="0.3">
      <c r="B12">
        <v>5</v>
      </c>
      <c r="C12" s="2">
        <v>8170</v>
      </c>
    </row>
    <row r="13" spans="1:3" x14ac:dyDescent="0.3">
      <c r="B13">
        <v>6</v>
      </c>
      <c r="C13" s="2">
        <v>10107</v>
      </c>
    </row>
    <row r="14" spans="1:3" x14ac:dyDescent="0.3">
      <c r="A14">
        <v>3</v>
      </c>
      <c r="B14">
        <v>1</v>
      </c>
      <c r="C14" s="2">
        <v>4929</v>
      </c>
    </row>
    <row r="15" spans="1:3" x14ac:dyDescent="0.3">
      <c r="B15">
        <v>2</v>
      </c>
      <c r="C15" s="2">
        <v>6805</v>
      </c>
    </row>
    <row r="16" spans="1:3" x14ac:dyDescent="0.3">
      <c r="B16">
        <v>5</v>
      </c>
      <c r="C16" s="2">
        <v>12235</v>
      </c>
    </row>
    <row r="17" spans="1:3" x14ac:dyDescent="0.3">
      <c r="B17">
        <v>6</v>
      </c>
      <c r="C17" s="2">
        <v>14036</v>
      </c>
    </row>
    <row r="18" spans="1:3" x14ac:dyDescent="0.3">
      <c r="B18">
        <v>7</v>
      </c>
      <c r="C18" s="2">
        <v>15597</v>
      </c>
    </row>
    <row r="19" spans="1:3" x14ac:dyDescent="0.3">
      <c r="B19">
        <v>8</v>
      </c>
      <c r="C19" s="2">
        <v>18029</v>
      </c>
    </row>
    <row r="20" spans="1:3" x14ac:dyDescent="0.3">
      <c r="A20">
        <v>4</v>
      </c>
      <c r="B20">
        <v>5</v>
      </c>
      <c r="C20" s="2">
        <v>10914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9"/>
  <sheetViews>
    <sheetView workbookViewId="0">
      <selection activeCell="F2" sqref="F2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1.5546875" bestFit="1" customWidth="1"/>
    <col min="4" max="4" width="14" bestFit="1" customWidth="1"/>
    <col min="5" max="5" width="15.6640625" style="2" bestFit="1" customWidth="1"/>
    <col min="6" max="6" width="13.88671875" bestFit="1" customWidth="1"/>
    <col min="7" max="7" width="9.77734375" bestFit="1" customWidth="1"/>
    <col min="8" max="8" width="15.21875" bestFit="1" customWidth="1"/>
    <col min="9" max="9" width="23.109375" bestFit="1" customWidth="1"/>
    <col min="10" max="10" width="49.109375" bestFit="1" customWidth="1"/>
  </cols>
  <sheetData>
    <row r="1" spans="1:10" x14ac:dyDescent="0.3">
      <c r="A1" t="s">
        <v>0</v>
      </c>
      <c r="B1" t="s">
        <v>1</v>
      </c>
      <c r="C1" t="s">
        <v>48</v>
      </c>
      <c r="D1" t="s">
        <v>2</v>
      </c>
      <c r="E1" s="2" t="s">
        <v>52</v>
      </c>
      <c r="F1" t="s">
        <v>47</v>
      </c>
      <c r="G1" t="s">
        <v>49</v>
      </c>
      <c r="H1" t="s">
        <v>3</v>
      </c>
      <c r="I1" t="s">
        <v>50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0.10347222222222223</v>
      </c>
      <c r="E2" s="3">
        <v>587</v>
      </c>
      <c r="F2" s="2">
        <f>'Scrims Day 1'!E2-'Game Start Times'!$C$2</f>
        <v>442</v>
      </c>
      <c r="G2" t="s">
        <v>5</v>
      </c>
      <c r="J2" t="s">
        <v>6</v>
      </c>
    </row>
    <row r="3" spans="1:10" x14ac:dyDescent="0.3">
      <c r="A3">
        <v>1</v>
      </c>
      <c r="B3">
        <v>2</v>
      </c>
      <c r="C3" t="s">
        <v>5</v>
      </c>
      <c r="D3" s="1">
        <v>8.5416666666666655E-2</v>
      </c>
      <c r="E3" s="3">
        <v>613</v>
      </c>
      <c r="F3" s="2">
        <f>'Scrims Day 1'!E3-'Game Start Times'!$C$2</f>
        <v>468</v>
      </c>
      <c r="G3" t="s">
        <v>5</v>
      </c>
    </row>
    <row r="4" spans="1:10" x14ac:dyDescent="0.3">
      <c r="A4">
        <v>1</v>
      </c>
      <c r="B4">
        <v>2</v>
      </c>
      <c r="C4" t="s">
        <v>5</v>
      </c>
      <c r="D4" s="1">
        <v>4.4444444444444446E-2</v>
      </c>
      <c r="E4" s="3">
        <v>673</v>
      </c>
      <c r="F4" s="2">
        <f>'Scrims Day 1'!E4-'Game Start Times'!$C$2</f>
        <v>528</v>
      </c>
      <c r="G4" t="s">
        <v>7</v>
      </c>
      <c r="H4" t="s">
        <v>8</v>
      </c>
      <c r="I4" t="s">
        <v>9</v>
      </c>
      <c r="J4" t="s">
        <v>10</v>
      </c>
    </row>
    <row r="5" spans="1:10" x14ac:dyDescent="0.3">
      <c r="A5">
        <v>1</v>
      </c>
      <c r="B5">
        <v>2</v>
      </c>
      <c r="C5" t="s">
        <v>7</v>
      </c>
      <c r="D5" s="1">
        <v>5.5555555555555558E-3</v>
      </c>
      <c r="E5" s="3">
        <v>803</v>
      </c>
      <c r="F5" s="2">
        <f>'Scrims Day 1'!E5-'Game Start Times'!$C$2</f>
        <v>658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6.3888888888888884E-2</v>
      </c>
      <c r="E6" s="3">
        <v>854</v>
      </c>
      <c r="F6" s="2">
        <f>'Scrims Day 1'!E6-'Game Start Times'!$C$2</f>
        <v>709</v>
      </c>
      <c r="G6" t="s">
        <v>5</v>
      </c>
      <c r="J6" t="s">
        <v>11</v>
      </c>
    </row>
    <row r="7" spans="1:10" x14ac:dyDescent="0.3">
      <c r="A7">
        <v>1</v>
      </c>
      <c r="B7">
        <v>3</v>
      </c>
      <c r="C7" t="s">
        <v>5</v>
      </c>
      <c r="D7" s="1">
        <v>1.8055555555555557E-2</v>
      </c>
      <c r="E7" s="3">
        <v>925</v>
      </c>
      <c r="F7" s="2">
        <f>'Scrims Day 1'!E7-'Game Start Times'!$C$2</f>
        <v>780</v>
      </c>
      <c r="G7" t="s">
        <v>5</v>
      </c>
      <c r="J7" t="s">
        <v>12</v>
      </c>
    </row>
    <row r="8" spans="1:10" x14ac:dyDescent="0.3">
      <c r="A8">
        <v>1</v>
      </c>
      <c r="B8">
        <v>3</v>
      </c>
      <c r="C8" t="s">
        <v>7</v>
      </c>
      <c r="D8" s="1">
        <v>6.2499999999999995E-3</v>
      </c>
      <c r="E8" s="3">
        <v>988</v>
      </c>
      <c r="F8" s="2">
        <f>'Scrims Day 1'!E8-'Game Start Times'!$C$2</f>
        <v>843</v>
      </c>
      <c r="G8" t="s">
        <v>5</v>
      </c>
    </row>
    <row r="9" spans="1:10" x14ac:dyDescent="0.3">
      <c r="A9">
        <v>1</v>
      </c>
      <c r="B9">
        <v>4</v>
      </c>
      <c r="C9" t="s">
        <v>5</v>
      </c>
      <c r="D9" s="1">
        <v>3.9583333333333331E-2</v>
      </c>
      <c r="E9" s="3">
        <v>1048</v>
      </c>
      <c r="F9" s="2">
        <f>'Scrims Day 1'!E9-'Game Start Times'!$C$2</f>
        <v>903</v>
      </c>
      <c r="G9" t="s">
        <v>7</v>
      </c>
      <c r="H9" t="s">
        <v>13</v>
      </c>
      <c r="I9" t="s">
        <v>14</v>
      </c>
    </row>
    <row r="10" spans="1:10" x14ac:dyDescent="0.3">
      <c r="A10">
        <v>1</v>
      </c>
      <c r="B10">
        <v>4</v>
      </c>
      <c r="C10" t="s">
        <v>5</v>
      </c>
      <c r="D10" s="1">
        <v>1.4583333333333332E-2</v>
      </c>
      <c r="E10" s="3">
        <v>1086</v>
      </c>
      <c r="F10" s="2">
        <f>'Scrims Day 1'!E10-'Game Start Times'!$C$2</f>
        <v>941</v>
      </c>
      <c r="G10" t="s">
        <v>5</v>
      </c>
    </row>
    <row r="11" spans="1:10" x14ac:dyDescent="0.3">
      <c r="A11">
        <v>1</v>
      </c>
      <c r="B11">
        <v>5</v>
      </c>
      <c r="C11" t="s">
        <v>5</v>
      </c>
      <c r="D11" s="1">
        <v>1.0416666666666666E-2</v>
      </c>
      <c r="E11" s="3">
        <v>1168</v>
      </c>
      <c r="F11" s="2">
        <f>'Scrims Day 1'!E11-'Game Start Times'!$C$2</f>
        <v>1023</v>
      </c>
      <c r="G11" t="s">
        <v>5</v>
      </c>
    </row>
    <row r="12" spans="1:10" x14ac:dyDescent="0.3">
      <c r="A12">
        <v>1</v>
      </c>
      <c r="B12">
        <v>5</v>
      </c>
      <c r="C12" t="s">
        <v>7</v>
      </c>
      <c r="D12" s="1">
        <v>7.6388888888888886E-3</v>
      </c>
      <c r="E12" s="3">
        <v>1280</v>
      </c>
      <c r="F12" s="2">
        <f>'Scrims Day 1'!E12-'Game Start Times'!$C$2</f>
        <v>1135</v>
      </c>
      <c r="G12" t="s">
        <v>5</v>
      </c>
      <c r="J12" t="s">
        <v>15</v>
      </c>
    </row>
    <row r="13" spans="1:10" x14ac:dyDescent="0.3">
      <c r="A13">
        <v>2</v>
      </c>
      <c r="B13">
        <v>2</v>
      </c>
      <c r="C13" t="s">
        <v>7</v>
      </c>
      <c r="D13" s="1">
        <v>2.0833333333333332E-2</v>
      </c>
      <c r="E13" s="3">
        <v>2592</v>
      </c>
      <c r="F13" s="2">
        <f>'Scrims Day 1'!E13-'Game Start Times'!$C$3</f>
        <v>637</v>
      </c>
      <c r="G13" t="s">
        <v>5</v>
      </c>
    </row>
    <row r="14" spans="1:10" x14ac:dyDescent="0.3">
      <c r="A14">
        <v>2</v>
      </c>
      <c r="B14">
        <v>3</v>
      </c>
      <c r="C14" t="s">
        <v>5</v>
      </c>
      <c r="D14" s="1">
        <v>1.1111111111111112E-2</v>
      </c>
      <c r="E14" s="3">
        <v>2746</v>
      </c>
      <c r="F14" s="2">
        <f>'Scrims Day 1'!E14-'Game Start Times'!$C$3</f>
        <v>791</v>
      </c>
      <c r="G14" t="s">
        <v>5</v>
      </c>
      <c r="J14" t="s">
        <v>16</v>
      </c>
    </row>
    <row r="15" spans="1:10" x14ac:dyDescent="0.3">
      <c r="A15">
        <v>2</v>
      </c>
      <c r="B15">
        <v>3</v>
      </c>
      <c r="C15" t="s">
        <v>7</v>
      </c>
      <c r="D15" s="1">
        <v>2.4305555555555556E-2</v>
      </c>
      <c r="E15" s="3">
        <v>2774</v>
      </c>
      <c r="F15" s="2">
        <f>'Scrims Day 1'!E15-'Game Start Times'!$C$3</f>
        <v>819</v>
      </c>
      <c r="G15" t="s">
        <v>7</v>
      </c>
      <c r="H15" t="s">
        <v>17</v>
      </c>
      <c r="I15" t="s">
        <v>18</v>
      </c>
    </row>
    <row r="16" spans="1:10" x14ac:dyDescent="0.3">
      <c r="A16">
        <v>2</v>
      </c>
      <c r="B16">
        <v>4</v>
      </c>
      <c r="C16" t="s">
        <v>5</v>
      </c>
      <c r="D16" s="1">
        <v>6.9444444444444434E-2</v>
      </c>
      <c r="E16" s="3">
        <v>2820</v>
      </c>
      <c r="F16" s="2">
        <f>'Scrims Day 1'!E16-'Game Start Times'!$C$3</f>
        <v>865</v>
      </c>
      <c r="G16" t="s">
        <v>5</v>
      </c>
    </row>
    <row r="17" spans="1:10" x14ac:dyDescent="0.3">
      <c r="A17">
        <v>2</v>
      </c>
      <c r="B17">
        <v>4</v>
      </c>
      <c r="C17" t="s">
        <v>5</v>
      </c>
      <c r="D17" s="1">
        <v>3.6805555555555557E-2</v>
      </c>
      <c r="E17" s="3">
        <v>2862</v>
      </c>
      <c r="F17" s="2">
        <f>'Scrims Day 1'!E17-'Game Start Times'!$C$3</f>
        <v>907</v>
      </c>
      <c r="G17" t="s">
        <v>5</v>
      </c>
    </row>
    <row r="18" spans="1:10" x14ac:dyDescent="0.3">
      <c r="A18">
        <v>2</v>
      </c>
      <c r="B18">
        <v>4</v>
      </c>
      <c r="C18" t="s">
        <v>7</v>
      </c>
      <c r="D18" s="1">
        <v>2.0833333333333332E-2</v>
      </c>
      <c r="E18" s="3">
        <v>2933</v>
      </c>
      <c r="F18" s="2">
        <f>'Scrims Day 1'!E18-'Game Start Times'!$C$3</f>
        <v>978</v>
      </c>
      <c r="G18" t="s">
        <v>5</v>
      </c>
    </row>
    <row r="19" spans="1:10" x14ac:dyDescent="0.3">
      <c r="A19">
        <v>2</v>
      </c>
      <c r="B19">
        <v>4</v>
      </c>
      <c r="C19" t="s">
        <v>7</v>
      </c>
      <c r="D19" s="1">
        <v>2.0833333333333333E-3</v>
      </c>
      <c r="E19" s="3">
        <v>2954</v>
      </c>
      <c r="F19" s="2">
        <f>'Scrims Day 1'!E19-'Game Start Times'!$C$3</f>
        <v>999</v>
      </c>
      <c r="G19" t="s">
        <v>7</v>
      </c>
      <c r="H19" t="s">
        <v>19</v>
      </c>
      <c r="I19" t="s">
        <v>20</v>
      </c>
      <c r="J19" t="s">
        <v>21</v>
      </c>
    </row>
    <row r="20" spans="1:10" x14ac:dyDescent="0.3">
      <c r="A20">
        <v>2</v>
      </c>
      <c r="B20">
        <v>4</v>
      </c>
      <c r="C20" t="s">
        <v>7</v>
      </c>
      <c r="D20" s="1">
        <v>2.0833333333333333E-3</v>
      </c>
      <c r="E20" s="3">
        <v>2954</v>
      </c>
      <c r="F20" s="2">
        <f>'Scrims Day 1'!E20-'Game Start Times'!$C$3</f>
        <v>999</v>
      </c>
      <c r="G20" t="s">
        <v>7</v>
      </c>
      <c r="H20" t="s">
        <v>22</v>
      </c>
      <c r="I20" t="s">
        <v>20</v>
      </c>
      <c r="J20" t="s">
        <v>23</v>
      </c>
    </row>
    <row r="21" spans="1:10" x14ac:dyDescent="0.3">
      <c r="A21">
        <v>2</v>
      </c>
      <c r="B21">
        <v>4</v>
      </c>
      <c r="C21" t="s">
        <v>7</v>
      </c>
      <c r="D21" s="1">
        <v>2.0833333333333333E-3</v>
      </c>
      <c r="E21" s="3">
        <v>2954</v>
      </c>
      <c r="F21" s="2">
        <f>'Scrims Day 1'!E21-'Game Start Times'!$C$3</f>
        <v>999</v>
      </c>
      <c r="G21" t="s">
        <v>7</v>
      </c>
      <c r="H21" t="s">
        <v>24</v>
      </c>
      <c r="I21" t="s">
        <v>20</v>
      </c>
    </row>
    <row r="22" spans="1:10" x14ac:dyDescent="0.3">
      <c r="A22">
        <v>2</v>
      </c>
      <c r="B22">
        <v>5</v>
      </c>
      <c r="C22" t="s">
        <v>7</v>
      </c>
      <c r="D22" s="1">
        <v>1.6666666666666666E-2</v>
      </c>
      <c r="E22" s="3">
        <v>3078</v>
      </c>
      <c r="F22" s="2">
        <f>'Scrims Day 1'!E22-'Game Start Times'!$C$3</f>
        <v>1123</v>
      </c>
      <c r="G22" t="s">
        <v>5</v>
      </c>
    </row>
    <row r="23" spans="1:10" x14ac:dyDescent="0.3">
      <c r="A23">
        <v>3</v>
      </c>
      <c r="B23">
        <v>2</v>
      </c>
      <c r="C23" t="s">
        <v>5</v>
      </c>
      <c r="D23" s="1">
        <v>0.11388888888888889</v>
      </c>
      <c r="E23" s="3">
        <v>4166</v>
      </c>
      <c r="F23" s="2">
        <f>'Scrims Day 1'!E23-'Game Start Times'!$C$4</f>
        <v>424</v>
      </c>
      <c r="G23" t="s">
        <v>7</v>
      </c>
      <c r="H23" t="s">
        <v>25</v>
      </c>
      <c r="I23" t="s">
        <v>26</v>
      </c>
    </row>
    <row r="24" spans="1:10" x14ac:dyDescent="0.3">
      <c r="A24">
        <v>3</v>
      </c>
      <c r="B24">
        <v>2</v>
      </c>
      <c r="C24" t="s">
        <v>7</v>
      </c>
      <c r="D24" s="1">
        <v>3.8194444444444441E-2</v>
      </c>
      <c r="E24" s="3">
        <v>4352</v>
      </c>
      <c r="F24" s="2">
        <f>'Scrims Day 1'!E24-'Game Start Times'!$C$4</f>
        <v>610</v>
      </c>
      <c r="G24" t="s">
        <v>5</v>
      </c>
      <c r="J24" t="s">
        <v>27</v>
      </c>
    </row>
    <row r="25" spans="1:10" x14ac:dyDescent="0.3">
      <c r="A25">
        <v>3</v>
      </c>
      <c r="B25">
        <v>2</v>
      </c>
      <c r="C25" t="s">
        <v>7</v>
      </c>
      <c r="D25" s="1">
        <v>6.9444444444444441E-3</v>
      </c>
      <c r="E25" s="3">
        <v>4394</v>
      </c>
      <c r="F25" s="2">
        <f>'Scrims Day 1'!E25-'Game Start Times'!$C$4</f>
        <v>652</v>
      </c>
      <c r="G25" t="s">
        <v>5</v>
      </c>
    </row>
    <row r="26" spans="1:10" x14ac:dyDescent="0.3">
      <c r="A26">
        <v>3</v>
      </c>
      <c r="B26">
        <v>3</v>
      </c>
      <c r="C26" t="s">
        <v>5</v>
      </c>
      <c r="D26" s="1">
        <v>8.0555555555555561E-2</v>
      </c>
      <c r="E26" s="3">
        <v>4426</v>
      </c>
      <c r="F26" s="2">
        <f>'Scrims Day 1'!E26-'Game Start Times'!$C$4</f>
        <v>684</v>
      </c>
      <c r="G26" t="s">
        <v>7</v>
      </c>
      <c r="H26" t="s">
        <v>28</v>
      </c>
      <c r="I26" t="s">
        <v>29</v>
      </c>
      <c r="J26" t="s">
        <v>30</v>
      </c>
    </row>
    <row r="27" spans="1:10" x14ac:dyDescent="0.3">
      <c r="A27">
        <v>3</v>
      </c>
      <c r="B27">
        <v>3</v>
      </c>
      <c r="C27" t="s">
        <v>5</v>
      </c>
      <c r="D27" s="1">
        <v>8.0555555555555561E-2</v>
      </c>
      <c r="E27" s="3">
        <v>4426</v>
      </c>
      <c r="F27" s="2">
        <f>'Scrims Day 1'!E27-'Game Start Times'!$C$4</f>
        <v>684</v>
      </c>
      <c r="G27" t="s">
        <v>7</v>
      </c>
      <c r="H27" t="s">
        <v>31</v>
      </c>
      <c r="I27" t="s">
        <v>29</v>
      </c>
      <c r="J27" t="s">
        <v>32</v>
      </c>
    </row>
    <row r="28" spans="1:10" x14ac:dyDescent="0.3">
      <c r="A28">
        <v>3</v>
      </c>
      <c r="B28">
        <v>3</v>
      </c>
      <c r="C28" t="s">
        <v>5</v>
      </c>
      <c r="D28" s="1">
        <v>2.4999999999999998E-2</v>
      </c>
      <c r="E28" s="3">
        <v>4509</v>
      </c>
      <c r="F28" s="2">
        <f>'Scrims Day 1'!E28-'Game Start Times'!$C$4</f>
        <v>767</v>
      </c>
      <c r="G28" t="s">
        <v>5</v>
      </c>
    </row>
    <row r="29" spans="1:10" x14ac:dyDescent="0.3">
      <c r="A29">
        <v>3</v>
      </c>
      <c r="B29">
        <v>3</v>
      </c>
      <c r="C29" t="s">
        <v>5</v>
      </c>
      <c r="D29" s="1">
        <v>2.7777777777777779E-3</v>
      </c>
      <c r="E29" s="3">
        <v>4543</v>
      </c>
      <c r="F29" s="2">
        <f>'Scrims Day 1'!E29-'Game Start Times'!$C$4</f>
        <v>801</v>
      </c>
      <c r="G29" t="s">
        <v>5</v>
      </c>
    </row>
    <row r="30" spans="1:10" x14ac:dyDescent="0.3">
      <c r="A30">
        <v>3</v>
      </c>
      <c r="B30">
        <v>4</v>
      </c>
      <c r="C30" t="s">
        <v>5</v>
      </c>
      <c r="D30" s="1">
        <v>3.3333333333333333E-2</v>
      </c>
      <c r="E30" s="3">
        <v>4651</v>
      </c>
      <c r="F30" s="2">
        <f>'Scrims Day 1'!E30-'Game Start Times'!$C$4</f>
        <v>909</v>
      </c>
      <c r="G30" t="s">
        <v>5</v>
      </c>
    </row>
    <row r="31" spans="1:10" x14ac:dyDescent="0.3">
      <c r="A31">
        <v>3</v>
      </c>
      <c r="B31">
        <v>4</v>
      </c>
      <c r="C31" t="s">
        <v>5</v>
      </c>
      <c r="D31" s="1">
        <v>1.4583333333333332E-2</v>
      </c>
      <c r="E31" s="3">
        <v>4681</v>
      </c>
      <c r="F31" s="2">
        <f>'Scrims Day 1'!E31-'Game Start Times'!$C$4</f>
        <v>939</v>
      </c>
      <c r="G31" t="s">
        <v>7</v>
      </c>
      <c r="H31" t="s">
        <v>33</v>
      </c>
      <c r="I31" t="s">
        <v>26</v>
      </c>
      <c r="J31" t="s">
        <v>34</v>
      </c>
    </row>
    <row r="32" spans="1:10" x14ac:dyDescent="0.3">
      <c r="A32">
        <v>3</v>
      </c>
      <c r="B32">
        <v>4</v>
      </c>
      <c r="C32" t="s">
        <v>5</v>
      </c>
      <c r="D32" s="1">
        <v>1.4583333333333332E-2</v>
      </c>
      <c r="E32" s="3">
        <v>4681</v>
      </c>
      <c r="F32" s="2">
        <f>'Scrims Day 1'!E32-'Game Start Times'!$C$4</f>
        <v>939</v>
      </c>
      <c r="G32" t="s">
        <v>7</v>
      </c>
      <c r="H32" t="s">
        <v>35</v>
      </c>
      <c r="I32" t="s">
        <v>26</v>
      </c>
      <c r="J32" t="s">
        <v>36</v>
      </c>
    </row>
    <row r="33" spans="1:10" x14ac:dyDescent="0.3">
      <c r="A33">
        <v>3</v>
      </c>
      <c r="B33">
        <v>4</v>
      </c>
      <c r="C33" t="s">
        <v>5</v>
      </c>
      <c r="D33" s="1">
        <v>1.4583333333333332E-2</v>
      </c>
      <c r="E33" s="3">
        <v>4681</v>
      </c>
      <c r="F33" s="2">
        <f>'Scrims Day 1'!E33-'Game Start Times'!$C$4</f>
        <v>939</v>
      </c>
      <c r="G33" t="s">
        <v>7</v>
      </c>
      <c r="H33" t="s">
        <v>25</v>
      </c>
      <c r="I33" t="s">
        <v>26</v>
      </c>
    </row>
    <row r="34" spans="1:10" x14ac:dyDescent="0.3">
      <c r="A34">
        <v>3</v>
      </c>
      <c r="B34">
        <v>4</v>
      </c>
      <c r="C34" t="s">
        <v>7</v>
      </c>
      <c r="D34" s="1">
        <v>1.8055555555555557E-2</v>
      </c>
      <c r="E34" s="3">
        <v>4721</v>
      </c>
      <c r="F34" s="2">
        <f>'Scrims Day 1'!E34-'Game Start Times'!$C$4</f>
        <v>979</v>
      </c>
      <c r="G34" t="s">
        <v>5</v>
      </c>
    </row>
    <row r="35" spans="1:10" x14ac:dyDescent="0.3">
      <c r="A35">
        <v>3</v>
      </c>
      <c r="B35">
        <v>4</v>
      </c>
      <c r="C35" t="s">
        <v>7</v>
      </c>
      <c r="D35" s="1">
        <v>0</v>
      </c>
      <c r="E35" s="3">
        <v>4745</v>
      </c>
      <c r="F35" s="2">
        <f>'Scrims Day 1'!E35-'Game Start Times'!$C$4</f>
        <v>1003</v>
      </c>
      <c r="G35" t="s">
        <v>5</v>
      </c>
    </row>
    <row r="36" spans="1:10" x14ac:dyDescent="0.3">
      <c r="A36">
        <v>4</v>
      </c>
      <c r="B36">
        <v>2</v>
      </c>
      <c r="C36" t="s">
        <v>5</v>
      </c>
      <c r="D36" s="1">
        <v>9.0277777777777787E-3</v>
      </c>
      <c r="E36" s="3">
        <v>6045</v>
      </c>
      <c r="F36" s="2">
        <f>'Scrims Day 1'!E36-'Game Start Times'!$C$5</f>
        <v>585</v>
      </c>
      <c r="G36" t="s">
        <v>5</v>
      </c>
      <c r="J36" t="s">
        <v>37</v>
      </c>
    </row>
    <row r="37" spans="1:10" x14ac:dyDescent="0.3">
      <c r="A37">
        <v>4</v>
      </c>
      <c r="B37">
        <v>2</v>
      </c>
      <c r="C37" t="s">
        <v>7</v>
      </c>
      <c r="D37" s="1">
        <v>3.3333333333333333E-2</v>
      </c>
      <c r="E37" s="3">
        <v>6089</v>
      </c>
      <c r="F37" s="2">
        <f>'Scrims Day 1'!E37-'Game Start Times'!$C$5</f>
        <v>629</v>
      </c>
      <c r="G37" t="s">
        <v>5</v>
      </c>
    </row>
    <row r="38" spans="1:10" x14ac:dyDescent="0.3">
      <c r="A38">
        <v>4</v>
      </c>
      <c r="B38">
        <v>2</v>
      </c>
      <c r="C38" t="s">
        <v>7</v>
      </c>
      <c r="D38" s="1">
        <v>1.5972222222222224E-2</v>
      </c>
      <c r="E38" s="3">
        <v>6113</v>
      </c>
      <c r="F38" s="2">
        <f>'Scrims Day 1'!E38-'Game Start Times'!$C$5</f>
        <v>653</v>
      </c>
      <c r="G38" t="s">
        <v>5</v>
      </c>
    </row>
    <row r="39" spans="1:10" x14ac:dyDescent="0.3">
      <c r="A39">
        <v>4</v>
      </c>
      <c r="B39">
        <v>3</v>
      </c>
      <c r="C39" t="s">
        <v>5</v>
      </c>
      <c r="D39" s="1">
        <v>2.9861111111111113E-2</v>
      </c>
      <c r="E39" s="3">
        <v>6230</v>
      </c>
      <c r="F39" s="2">
        <f>'Scrims Day 1'!E39-'Game Start Times'!$C$5</f>
        <v>770</v>
      </c>
      <c r="G39" t="s">
        <v>7</v>
      </c>
      <c r="H39" t="s">
        <v>38</v>
      </c>
      <c r="I39" t="s">
        <v>39</v>
      </c>
    </row>
    <row r="40" spans="1:10" x14ac:dyDescent="0.3">
      <c r="A40">
        <v>4</v>
      </c>
      <c r="B40">
        <v>3</v>
      </c>
      <c r="C40" t="s">
        <v>7</v>
      </c>
      <c r="D40" s="1">
        <v>2.8472222222222222E-2</v>
      </c>
      <c r="E40" s="3">
        <v>6280</v>
      </c>
      <c r="F40" s="2">
        <f>'Scrims Day 1'!E40-'Game Start Times'!$C$5</f>
        <v>820</v>
      </c>
      <c r="G40" t="s">
        <v>7</v>
      </c>
      <c r="H40" t="s">
        <v>13</v>
      </c>
      <c r="I40" t="s">
        <v>14</v>
      </c>
    </row>
    <row r="41" spans="1:10" x14ac:dyDescent="0.3">
      <c r="A41">
        <v>4</v>
      </c>
      <c r="B41">
        <v>3</v>
      </c>
      <c r="C41" t="s">
        <v>7</v>
      </c>
      <c r="D41" s="1">
        <v>2.8472222222222222E-2</v>
      </c>
      <c r="E41" s="3">
        <v>6280</v>
      </c>
      <c r="F41" s="2">
        <f>'Scrims Day 1'!E41-'Game Start Times'!$C$5</f>
        <v>820</v>
      </c>
      <c r="G41" t="s">
        <v>7</v>
      </c>
      <c r="H41" t="s">
        <v>40</v>
      </c>
      <c r="I41" t="s">
        <v>14</v>
      </c>
      <c r="J41" t="s">
        <v>41</v>
      </c>
    </row>
    <row r="42" spans="1:10" x14ac:dyDescent="0.3">
      <c r="A42">
        <v>5</v>
      </c>
      <c r="B42">
        <v>2</v>
      </c>
      <c r="C42" t="s">
        <v>7</v>
      </c>
      <c r="D42" s="1">
        <v>2.9861111111111113E-2</v>
      </c>
      <c r="E42" s="3">
        <v>7759</v>
      </c>
      <c r="F42" s="2">
        <f>'Scrims Day 1'!E42-'Game Start Times'!$C$6</f>
        <v>621</v>
      </c>
      <c r="G42" t="s">
        <v>5</v>
      </c>
    </row>
    <row r="43" spans="1:10" x14ac:dyDescent="0.3">
      <c r="A43">
        <v>5</v>
      </c>
      <c r="B43">
        <v>2</v>
      </c>
      <c r="C43" t="s">
        <v>7</v>
      </c>
      <c r="D43" s="1">
        <v>1.3194444444444444E-2</v>
      </c>
      <c r="E43" s="3">
        <v>7782</v>
      </c>
      <c r="F43" s="2">
        <f>'Scrims Day 1'!E43-'Game Start Times'!$C$6</f>
        <v>644</v>
      </c>
      <c r="G43" t="s">
        <v>7</v>
      </c>
      <c r="H43" t="s">
        <v>42</v>
      </c>
      <c r="I43" t="s">
        <v>39</v>
      </c>
    </row>
    <row r="44" spans="1:10" x14ac:dyDescent="0.3">
      <c r="A44">
        <v>5</v>
      </c>
      <c r="B44">
        <v>3</v>
      </c>
      <c r="C44" t="s">
        <v>5</v>
      </c>
      <c r="D44" s="1">
        <v>9.3055555555555558E-2</v>
      </c>
      <c r="E44" s="3">
        <v>7809</v>
      </c>
      <c r="F44" s="2">
        <f>'Scrims Day 1'!E44-'Game Start Times'!$C$6</f>
        <v>671</v>
      </c>
      <c r="G44" t="s">
        <v>5</v>
      </c>
    </row>
    <row r="45" spans="1:10" x14ac:dyDescent="0.3">
      <c r="A45">
        <v>5</v>
      </c>
      <c r="B45">
        <v>3</v>
      </c>
      <c r="C45" t="s">
        <v>5</v>
      </c>
      <c r="D45" s="1">
        <v>5.2777777777777778E-2</v>
      </c>
      <c r="E45" s="3">
        <v>7868</v>
      </c>
      <c r="F45" s="2">
        <f>'Scrims Day 1'!E45-'Game Start Times'!$C$6</f>
        <v>730</v>
      </c>
      <c r="G45" t="s">
        <v>7</v>
      </c>
      <c r="H45" t="s">
        <v>38</v>
      </c>
      <c r="I45" t="s">
        <v>39</v>
      </c>
    </row>
    <row r="46" spans="1:10" x14ac:dyDescent="0.3">
      <c r="A46">
        <v>5</v>
      </c>
      <c r="B46">
        <v>3</v>
      </c>
      <c r="C46" t="s">
        <v>7</v>
      </c>
      <c r="D46" s="1">
        <v>0</v>
      </c>
      <c r="E46" s="3">
        <v>7988</v>
      </c>
      <c r="F46" s="2">
        <f>'Scrims Day 1'!E46-'Game Start Times'!$C$6</f>
        <v>850</v>
      </c>
      <c r="G46" t="s">
        <v>5</v>
      </c>
      <c r="J46" t="s">
        <v>43</v>
      </c>
    </row>
    <row r="47" spans="1:10" x14ac:dyDescent="0.3">
      <c r="A47">
        <v>5</v>
      </c>
      <c r="B47">
        <v>4</v>
      </c>
      <c r="C47" t="s">
        <v>5</v>
      </c>
      <c r="D47" s="1">
        <v>4.9999999999999996E-2</v>
      </c>
      <c r="E47" s="3">
        <v>8026</v>
      </c>
      <c r="F47" s="2">
        <f>'Scrims Day 1'!E47-'Game Start Times'!$C$6</f>
        <v>888</v>
      </c>
      <c r="G47" t="s">
        <v>5</v>
      </c>
    </row>
    <row r="48" spans="1:10" x14ac:dyDescent="0.3">
      <c r="A48">
        <v>6</v>
      </c>
      <c r="B48">
        <v>1</v>
      </c>
      <c r="C48" t="s">
        <v>7</v>
      </c>
      <c r="D48" s="1">
        <v>5.1388888888888894E-2</v>
      </c>
      <c r="E48" s="2">
        <v>9148</v>
      </c>
      <c r="F48" s="2">
        <f>'Scrims Day 1'!E48-'Game Start Times'!$C$6</f>
        <v>2010</v>
      </c>
      <c r="G48" t="s">
        <v>7</v>
      </c>
      <c r="H48" t="s">
        <v>44</v>
      </c>
      <c r="I48" t="s">
        <v>45</v>
      </c>
      <c r="J48" t="s">
        <v>46</v>
      </c>
    </row>
    <row r="49" spans="1:7" x14ac:dyDescent="0.3">
      <c r="A49">
        <v>6</v>
      </c>
      <c r="B49">
        <v>2</v>
      </c>
      <c r="C49" t="s">
        <v>5</v>
      </c>
      <c r="D49" s="1">
        <v>3.1944444444444449E-2</v>
      </c>
      <c r="E49" s="2">
        <v>9348</v>
      </c>
      <c r="F49" s="2">
        <f>'Scrims Day 1'!E49-'Game Start Times'!$C$6</f>
        <v>2210</v>
      </c>
      <c r="G49" t="s">
        <v>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72F9-7BB4-4369-98FE-581E6B7EA461}">
  <sheetPr codeName="Sheet3"/>
  <dimension ref="A1:J38"/>
  <sheetViews>
    <sheetView workbookViewId="0">
      <selection activeCell="F2" sqref="F2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4.77734375" bestFit="1" customWidth="1"/>
    <col min="9" max="9" width="14.5546875" bestFit="1" customWidth="1"/>
    <col min="10" max="10" width="51.33203125" bestFit="1" customWidth="1"/>
  </cols>
  <sheetData>
    <row r="1" spans="1:10" x14ac:dyDescent="0.3">
      <c r="A1" t="s">
        <v>0</v>
      </c>
      <c r="B1" t="s">
        <v>1</v>
      </c>
      <c r="C1" t="s">
        <v>48</v>
      </c>
      <c r="D1" t="s">
        <v>2</v>
      </c>
      <c r="E1" s="2" t="s">
        <v>52</v>
      </c>
      <c r="F1" t="s">
        <v>47</v>
      </c>
      <c r="G1" t="s">
        <v>49</v>
      </c>
      <c r="H1" t="s">
        <v>3</v>
      </c>
      <c r="I1" t="s">
        <v>50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8.1250000000000003E-2</v>
      </c>
      <c r="E2" s="3">
        <v>787</v>
      </c>
      <c r="F2" s="2">
        <f>'Scrims Day 2'!E2-'Game Start Times'!$C$8</f>
        <v>493</v>
      </c>
      <c r="G2" t="s">
        <v>7</v>
      </c>
      <c r="H2" t="s">
        <v>54</v>
      </c>
      <c r="I2" t="s">
        <v>45</v>
      </c>
    </row>
    <row r="3" spans="1:10" x14ac:dyDescent="0.3">
      <c r="A3">
        <v>1</v>
      </c>
      <c r="B3">
        <v>2</v>
      </c>
      <c r="C3" t="s">
        <v>5</v>
      </c>
      <c r="D3" s="1">
        <v>5.6944444444444443E-2</v>
      </c>
      <c r="E3" s="3">
        <v>819</v>
      </c>
      <c r="F3" s="2">
        <f>'Scrims Day 2'!E3-'Game Start Times'!$C$8</f>
        <v>525</v>
      </c>
      <c r="G3" t="s">
        <v>5</v>
      </c>
      <c r="J3" t="s">
        <v>55</v>
      </c>
    </row>
    <row r="4" spans="1:10" x14ac:dyDescent="0.3">
      <c r="A4">
        <v>1</v>
      </c>
      <c r="B4">
        <v>2</v>
      </c>
      <c r="C4" t="s">
        <v>5</v>
      </c>
      <c r="D4" s="1">
        <v>1.6666666666666666E-2</v>
      </c>
      <c r="E4" s="3">
        <v>880</v>
      </c>
      <c r="F4" s="2">
        <f>'Scrims Day 2'!E4-'Game Start Times'!$C$8</f>
        <v>586</v>
      </c>
      <c r="G4" t="s">
        <v>7</v>
      </c>
      <c r="H4" t="s">
        <v>56</v>
      </c>
      <c r="I4" t="s">
        <v>57</v>
      </c>
      <c r="J4" t="s">
        <v>58</v>
      </c>
    </row>
    <row r="5" spans="1:10" x14ac:dyDescent="0.3">
      <c r="A5">
        <v>1</v>
      </c>
      <c r="B5">
        <v>2</v>
      </c>
      <c r="C5" t="s">
        <v>5</v>
      </c>
      <c r="D5" s="1">
        <v>6.9444444444444447E-4</v>
      </c>
      <c r="E5" s="3">
        <v>901</v>
      </c>
      <c r="F5" s="2">
        <f>'Scrims Day 2'!E5-'Game Start Times'!$C$8</f>
        <v>607</v>
      </c>
      <c r="G5" t="s">
        <v>5</v>
      </c>
    </row>
    <row r="6" spans="1:10" x14ac:dyDescent="0.3">
      <c r="A6">
        <v>1</v>
      </c>
      <c r="B6">
        <v>2</v>
      </c>
      <c r="C6" t="s">
        <v>7</v>
      </c>
      <c r="D6" s="1">
        <v>3.4722222222222224E-2</v>
      </c>
      <c r="E6" s="3">
        <v>926</v>
      </c>
      <c r="F6" s="2">
        <f>'Scrims Day 2'!E6-'Game Start Times'!$C$8</f>
        <v>632</v>
      </c>
      <c r="G6" t="s">
        <v>7</v>
      </c>
      <c r="H6" t="s">
        <v>59</v>
      </c>
      <c r="I6" t="s">
        <v>57</v>
      </c>
    </row>
    <row r="7" spans="1:10" x14ac:dyDescent="0.3">
      <c r="A7">
        <v>1</v>
      </c>
      <c r="B7">
        <v>3</v>
      </c>
      <c r="C7" t="s">
        <v>5</v>
      </c>
      <c r="D7" s="1">
        <v>3.125E-2</v>
      </c>
      <c r="E7" s="3">
        <v>1069</v>
      </c>
      <c r="F7" s="2">
        <f>'Scrims Day 2'!E7-'Game Start Times'!$C$8</f>
        <v>775</v>
      </c>
      <c r="G7" t="s">
        <v>5</v>
      </c>
    </row>
    <row r="8" spans="1:10" x14ac:dyDescent="0.3">
      <c r="A8">
        <v>1</v>
      </c>
      <c r="B8">
        <v>3</v>
      </c>
      <c r="C8" t="s">
        <v>7</v>
      </c>
      <c r="D8" s="1">
        <v>2.7777777777777776E-2</v>
      </c>
      <c r="E8" s="3">
        <v>1124</v>
      </c>
      <c r="F8" s="2">
        <f>'Scrims Day 2'!E8-'Game Start Times'!$C$8</f>
        <v>830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4.7222222222222221E-2</v>
      </c>
      <c r="E9" s="3">
        <v>2830</v>
      </c>
      <c r="F9" s="2">
        <f>'Scrims Day 2'!E9-'Game Start Times'!$C$9</f>
        <v>523</v>
      </c>
      <c r="G9" t="s">
        <v>7</v>
      </c>
      <c r="H9" t="s">
        <v>40</v>
      </c>
      <c r="I9" t="s">
        <v>14</v>
      </c>
      <c r="J9" t="s">
        <v>16</v>
      </c>
    </row>
    <row r="10" spans="1:10" x14ac:dyDescent="0.3">
      <c r="A10">
        <v>2</v>
      </c>
      <c r="B10">
        <v>2</v>
      </c>
      <c r="C10" t="s">
        <v>5</v>
      </c>
      <c r="D10" s="1">
        <v>3.125E-2</v>
      </c>
      <c r="E10" s="3">
        <v>2856</v>
      </c>
      <c r="F10" s="2">
        <f>'Scrims Day 2'!E10-'Game Start Times'!$C$9</f>
        <v>549</v>
      </c>
      <c r="G10" t="s">
        <v>5</v>
      </c>
    </row>
    <row r="11" spans="1:10" x14ac:dyDescent="0.3">
      <c r="A11">
        <v>3</v>
      </c>
      <c r="B11">
        <v>1</v>
      </c>
      <c r="C11" t="s">
        <v>7</v>
      </c>
      <c r="D11" s="1">
        <v>7.3611111111111113E-2</v>
      </c>
      <c r="E11" s="3">
        <v>4417</v>
      </c>
      <c r="F11" s="2">
        <f>'Scrims Day 2'!E11-'Game Start Times'!$C$10</f>
        <v>316</v>
      </c>
      <c r="G11" t="s">
        <v>7</v>
      </c>
      <c r="H11" t="s">
        <v>60</v>
      </c>
      <c r="I11" t="s">
        <v>57</v>
      </c>
      <c r="J11" t="s">
        <v>61</v>
      </c>
    </row>
    <row r="12" spans="1:10" x14ac:dyDescent="0.3">
      <c r="A12">
        <v>3</v>
      </c>
      <c r="B12">
        <v>1</v>
      </c>
      <c r="C12" t="s">
        <v>7</v>
      </c>
      <c r="D12" s="1">
        <v>5.347222222222222E-2</v>
      </c>
      <c r="E12" s="3">
        <v>4445</v>
      </c>
      <c r="F12" s="2">
        <f>'Scrims Day 2'!E12-'Game Start Times'!$C$10</f>
        <v>344</v>
      </c>
      <c r="G12" t="s">
        <v>5</v>
      </c>
      <c r="J12" t="s">
        <v>62</v>
      </c>
    </row>
    <row r="13" spans="1:10" x14ac:dyDescent="0.3">
      <c r="A13">
        <v>3</v>
      </c>
      <c r="B13">
        <v>1</v>
      </c>
      <c r="C13" t="s">
        <v>7</v>
      </c>
      <c r="D13" s="1">
        <v>2.2222222222222223E-2</v>
      </c>
      <c r="E13" s="3">
        <v>4491</v>
      </c>
      <c r="F13" s="2">
        <f>'Scrims Day 2'!E13-'Game Start Times'!$C$10</f>
        <v>390</v>
      </c>
      <c r="G13" t="s">
        <v>7</v>
      </c>
      <c r="H13" t="s">
        <v>63</v>
      </c>
      <c r="I13" t="s">
        <v>9</v>
      </c>
    </row>
    <row r="14" spans="1:10" x14ac:dyDescent="0.3">
      <c r="A14">
        <v>3</v>
      </c>
      <c r="B14">
        <v>1</v>
      </c>
      <c r="C14" t="s">
        <v>7</v>
      </c>
      <c r="D14" s="1">
        <v>4.8611111111111112E-3</v>
      </c>
      <c r="E14" s="3">
        <v>4516</v>
      </c>
      <c r="F14" s="2">
        <f>'Scrims Day 2'!E14-'Game Start Times'!$C$10</f>
        <v>415</v>
      </c>
      <c r="G14" t="s">
        <v>7</v>
      </c>
      <c r="H14" t="s">
        <v>63</v>
      </c>
      <c r="I14" t="s">
        <v>9</v>
      </c>
    </row>
    <row r="15" spans="1:10" x14ac:dyDescent="0.3">
      <c r="A15">
        <v>3</v>
      </c>
      <c r="B15">
        <v>1</v>
      </c>
      <c r="C15" t="s">
        <v>7</v>
      </c>
      <c r="D15" s="1">
        <v>4.8611111111111112E-3</v>
      </c>
      <c r="E15" s="3">
        <v>4516</v>
      </c>
      <c r="F15" s="2">
        <f>'Scrims Day 2'!E15-'Game Start Times'!$C$10</f>
        <v>415</v>
      </c>
      <c r="G15" t="s">
        <v>7</v>
      </c>
      <c r="H15" t="s">
        <v>64</v>
      </c>
      <c r="I15" t="s">
        <v>9</v>
      </c>
    </row>
    <row r="16" spans="1:10" x14ac:dyDescent="0.3">
      <c r="A16">
        <v>3</v>
      </c>
      <c r="B16">
        <v>2</v>
      </c>
      <c r="C16" t="s">
        <v>7</v>
      </c>
      <c r="D16" s="1">
        <v>3.6805555555555557E-2</v>
      </c>
      <c r="E16" s="3">
        <v>4714</v>
      </c>
      <c r="F16" s="2">
        <f>'Scrims Day 2'!E16-'Game Start Times'!$C$10</f>
        <v>613</v>
      </c>
      <c r="G16" t="s">
        <v>7</v>
      </c>
      <c r="H16" t="s">
        <v>65</v>
      </c>
      <c r="I16" t="s">
        <v>66</v>
      </c>
      <c r="J16" t="s">
        <v>67</v>
      </c>
    </row>
    <row r="17" spans="1:10" x14ac:dyDescent="0.3">
      <c r="A17">
        <v>3</v>
      </c>
      <c r="B17">
        <v>3</v>
      </c>
      <c r="C17" t="s">
        <v>5</v>
      </c>
      <c r="D17" s="1">
        <v>8.5416666666666655E-2</v>
      </c>
      <c r="E17" s="3">
        <v>4784</v>
      </c>
      <c r="F17" s="2">
        <f>'Scrims Day 2'!E17-'Game Start Times'!$C$10</f>
        <v>683</v>
      </c>
      <c r="G17" t="s">
        <v>7</v>
      </c>
      <c r="H17" t="s">
        <v>63</v>
      </c>
      <c r="I17" t="s">
        <v>9</v>
      </c>
      <c r="J17" t="s">
        <v>6</v>
      </c>
    </row>
    <row r="18" spans="1:10" x14ac:dyDescent="0.3">
      <c r="A18">
        <v>3</v>
      </c>
      <c r="B18">
        <v>3</v>
      </c>
      <c r="C18" t="s">
        <v>5</v>
      </c>
      <c r="D18" s="1">
        <v>6.9444444444444434E-2</v>
      </c>
      <c r="E18" s="3">
        <v>4805</v>
      </c>
      <c r="F18" s="2">
        <f>'Scrims Day 2'!E18-'Game Start Times'!$C$10</f>
        <v>704</v>
      </c>
      <c r="G18" t="s">
        <v>7</v>
      </c>
      <c r="H18" t="s">
        <v>64</v>
      </c>
      <c r="I18" t="s">
        <v>9</v>
      </c>
    </row>
    <row r="19" spans="1:10" x14ac:dyDescent="0.3">
      <c r="A19">
        <v>3</v>
      </c>
      <c r="B19">
        <v>3</v>
      </c>
      <c r="C19" t="s">
        <v>5</v>
      </c>
      <c r="D19" s="1">
        <v>3.6805555555555557E-2</v>
      </c>
      <c r="E19" s="3">
        <v>4853</v>
      </c>
      <c r="F19" s="2">
        <f>'Scrims Day 2'!E19-'Game Start Times'!$C$10</f>
        <v>752</v>
      </c>
      <c r="G19" t="s">
        <v>5</v>
      </c>
    </row>
    <row r="20" spans="1:10" x14ac:dyDescent="0.3">
      <c r="A20">
        <v>3</v>
      </c>
      <c r="B20">
        <v>3</v>
      </c>
      <c r="C20" t="s">
        <v>5</v>
      </c>
      <c r="D20" s="1">
        <v>1.1111111111111112E-2</v>
      </c>
      <c r="E20" s="3">
        <v>4890</v>
      </c>
      <c r="F20" s="2">
        <f>'Scrims Day 2'!E20-'Game Start Times'!$C$10</f>
        <v>789</v>
      </c>
      <c r="G20" t="s">
        <v>7</v>
      </c>
      <c r="H20" t="s">
        <v>68</v>
      </c>
      <c r="I20" t="s">
        <v>66</v>
      </c>
    </row>
    <row r="21" spans="1:10" x14ac:dyDescent="0.3">
      <c r="A21">
        <v>4</v>
      </c>
      <c r="B21">
        <v>3</v>
      </c>
      <c r="C21" t="s">
        <v>5</v>
      </c>
      <c r="D21" s="1">
        <v>6.25E-2</v>
      </c>
      <c r="E21" s="3">
        <v>6626</v>
      </c>
      <c r="F21" s="2">
        <f>'Scrims Day 2'!E21-'Game Start Times'!$C$11</f>
        <v>726</v>
      </c>
      <c r="G21" t="s">
        <v>5</v>
      </c>
      <c r="J21" t="s">
        <v>69</v>
      </c>
    </row>
    <row r="22" spans="1:10" x14ac:dyDescent="0.3">
      <c r="A22">
        <v>4</v>
      </c>
      <c r="B22">
        <v>3</v>
      </c>
      <c r="C22" t="s">
        <v>5</v>
      </c>
      <c r="D22" s="1">
        <v>3.9583333333333331E-2</v>
      </c>
      <c r="E22" s="3">
        <v>6660</v>
      </c>
      <c r="F22" s="2">
        <f>'Scrims Day 2'!E22-'Game Start Times'!$C$11</f>
        <v>760</v>
      </c>
      <c r="G22" t="s">
        <v>5</v>
      </c>
    </row>
    <row r="23" spans="1:10" x14ac:dyDescent="0.3">
      <c r="A23">
        <v>4</v>
      </c>
      <c r="B23">
        <v>3</v>
      </c>
      <c r="C23" t="s">
        <v>5</v>
      </c>
      <c r="D23" s="1">
        <v>1.2499999999999999E-2</v>
      </c>
      <c r="E23" s="3">
        <v>6696</v>
      </c>
      <c r="F23" s="2">
        <f>'Scrims Day 2'!E23-'Game Start Times'!$C$11</f>
        <v>796</v>
      </c>
      <c r="G23" t="s">
        <v>5</v>
      </c>
    </row>
    <row r="24" spans="1:10" x14ac:dyDescent="0.3">
      <c r="A24">
        <v>4</v>
      </c>
      <c r="B24">
        <v>3</v>
      </c>
      <c r="C24" t="s">
        <v>7</v>
      </c>
      <c r="D24" s="1">
        <v>1.9444444444444445E-2</v>
      </c>
      <c r="E24" s="3">
        <v>6737</v>
      </c>
      <c r="F24" s="2">
        <f>'Scrims Day 2'!E24-'Game Start Times'!$C$11</f>
        <v>837</v>
      </c>
      <c r="G24" t="s">
        <v>7</v>
      </c>
      <c r="H24" t="s">
        <v>40</v>
      </c>
      <c r="I24" t="s">
        <v>14</v>
      </c>
    </row>
    <row r="25" spans="1:10" x14ac:dyDescent="0.3">
      <c r="A25">
        <v>4</v>
      </c>
      <c r="B25">
        <v>3</v>
      </c>
      <c r="C25" t="s">
        <v>7</v>
      </c>
      <c r="D25" s="1">
        <v>6.9444444444444447E-4</v>
      </c>
      <c r="E25" s="3">
        <v>6763</v>
      </c>
      <c r="F25" s="2">
        <f>'Scrims Day 2'!E25-'Game Start Times'!$C$11</f>
        <v>863</v>
      </c>
      <c r="G25" t="s">
        <v>5</v>
      </c>
    </row>
    <row r="26" spans="1:10" x14ac:dyDescent="0.3">
      <c r="A26">
        <v>4</v>
      </c>
      <c r="B26">
        <v>4</v>
      </c>
      <c r="C26" t="s">
        <v>5</v>
      </c>
      <c r="D26" s="1">
        <v>6.0416666666666667E-2</v>
      </c>
      <c r="E26" s="3">
        <v>6785</v>
      </c>
      <c r="F26" s="2">
        <f>'Scrims Day 2'!E26-'Game Start Times'!$C$11</f>
        <v>885</v>
      </c>
      <c r="G26" t="s">
        <v>5</v>
      </c>
    </row>
    <row r="27" spans="1:10" x14ac:dyDescent="0.3">
      <c r="A27">
        <v>4</v>
      </c>
      <c r="B27">
        <v>4</v>
      </c>
      <c r="C27" t="s">
        <v>5</v>
      </c>
      <c r="D27" s="1">
        <v>8.3333333333333332E-3</v>
      </c>
      <c r="E27" s="3">
        <v>6860</v>
      </c>
      <c r="F27" s="2">
        <f>'Scrims Day 2'!E27-'Game Start Times'!$C$11</f>
        <v>960</v>
      </c>
      <c r="G27" t="s">
        <v>5</v>
      </c>
    </row>
    <row r="28" spans="1:10" x14ac:dyDescent="0.3">
      <c r="A28">
        <v>4</v>
      </c>
      <c r="B28">
        <v>4</v>
      </c>
      <c r="C28" t="s">
        <v>7</v>
      </c>
      <c r="D28" s="1">
        <v>7.6388888888888886E-3</v>
      </c>
      <c r="E28" s="3">
        <v>6907</v>
      </c>
      <c r="F28" s="2">
        <f>'Scrims Day 2'!E28-'Game Start Times'!$C$11</f>
        <v>1007</v>
      </c>
      <c r="G28" t="s">
        <v>5</v>
      </c>
    </row>
    <row r="29" spans="1:10" x14ac:dyDescent="0.3">
      <c r="A29">
        <v>4</v>
      </c>
      <c r="B29">
        <v>5</v>
      </c>
      <c r="C29" t="s">
        <v>5</v>
      </c>
      <c r="D29" s="1">
        <v>4.7916666666666663E-2</v>
      </c>
      <c r="E29" s="3">
        <v>6943</v>
      </c>
      <c r="F29" s="2">
        <f>'Scrims Day 2'!E29-'Game Start Times'!$C$11</f>
        <v>1043</v>
      </c>
      <c r="G29" t="s">
        <v>5</v>
      </c>
    </row>
    <row r="30" spans="1:10" x14ac:dyDescent="0.3">
      <c r="A30">
        <v>4</v>
      </c>
      <c r="B30">
        <v>5</v>
      </c>
      <c r="C30" t="s">
        <v>7</v>
      </c>
      <c r="D30" s="1">
        <v>1.2499999999999999E-2</v>
      </c>
      <c r="E30" s="3">
        <v>7039</v>
      </c>
      <c r="F30" s="2">
        <f>'Scrims Day 2'!E30-'Game Start Times'!$C$11</f>
        <v>1139</v>
      </c>
      <c r="G30" t="s">
        <v>5</v>
      </c>
    </row>
    <row r="31" spans="1:10" x14ac:dyDescent="0.3">
      <c r="A31">
        <v>5</v>
      </c>
      <c r="B31">
        <v>1</v>
      </c>
      <c r="C31" t="s">
        <v>7</v>
      </c>
      <c r="D31" s="1">
        <v>6.9444444444444447E-4</v>
      </c>
      <c r="E31" s="3">
        <v>8584</v>
      </c>
      <c r="F31" s="2">
        <f>'Scrims Day 2'!E31-'Game Start Times'!$C$12</f>
        <v>414</v>
      </c>
      <c r="G31" t="s">
        <v>5</v>
      </c>
    </row>
    <row r="32" spans="1:10" x14ac:dyDescent="0.3">
      <c r="A32">
        <v>5</v>
      </c>
      <c r="B32">
        <v>2</v>
      </c>
      <c r="C32" t="s">
        <v>5</v>
      </c>
      <c r="D32" s="1">
        <v>9.930555555555555E-2</v>
      </c>
      <c r="E32" s="3">
        <v>8611</v>
      </c>
      <c r="F32" s="2">
        <f>'Scrims Day 2'!E32-'Game Start Times'!$C$12</f>
        <v>441</v>
      </c>
      <c r="G32" t="s">
        <v>5</v>
      </c>
    </row>
    <row r="33" spans="1:10" x14ac:dyDescent="0.3">
      <c r="A33">
        <v>5</v>
      </c>
      <c r="B33">
        <v>3</v>
      </c>
      <c r="C33" t="s">
        <v>5</v>
      </c>
      <c r="D33" s="1">
        <v>7.3611111111111113E-2</v>
      </c>
      <c r="E33" s="3">
        <v>8859</v>
      </c>
      <c r="F33" s="2">
        <f>'Scrims Day 2'!E33-'Game Start Times'!$C$12</f>
        <v>689</v>
      </c>
      <c r="G33" t="s">
        <v>5</v>
      </c>
      <c r="J33" t="s">
        <v>70</v>
      </c>
    </row>
    <row r="34" spans="1:10" x14ac:dyDescent="0.3">
      <c r="A34">
        <v>5</v>
      </c>
      <c r="B34">
        <v>3</v>
      </c>
      <c r="C34" t="s">
        <v>5</v>
      </c>
      <c r="D34" s="1">
        <v>5.6250000000000001E-2</v>
      </c>
      <c r="E34" s="3">
        <v>8885</v>
      </c>
      <c r="F34" s="2">
        <f>'Scrims Day 2'!E34-'Game Start Times'!$C$12</f>
        <v>715</v>
      </c>
      <c r="G34" t="s">
        <v>5</v>
      </c>
    </row>
    <row r="35" spans="1:10" x14ac:dyDescent="0.3">
      <c r="A35">
        <v>5</v>
      </c>
      <c r="B35">
        <v>3</v>
      </c>
      <c r="C35" t="s">
        <v>5</v>
      </c>
      <c r="D35" s="1">
        <v>3.8194444444444441E-2</v>
      </c>
      <c r="E35" s="3">
        <v>8909</v>
      </c>
      <c r="F35" s="2">
        <f>'Scrims Day 2'!E35-'Game Start Times'!$C$12</f>
        <v>739</v>
      </c>
      <c r="G35" t="s">
        <v>7</v>
      </c>
      <c r="H35" t="s">
        <v>35</v>
      </c>
      <c r="I35" t="s">
        <v>26</v>
      </c>
    </row>
    <row r="36" spans="1:10" x14ac:dyDescent="0.3">
      <c r="A36">
        <v>5</v>
      </c>
      <c r="B36">
        <v>4</v>
      </c>
      <c r="C36" t="s">
        <v>5</v>
      </c>
      <c r="D36" s="1">
        <v>3.4027777777777775E-2</v>
      </c>
      <c r="E36" s="3">
        <v>9073</v>
      </c>
      <c r="F36" s="2">
        <f>'Scrims Day 2'!E36-'Game Start Times'!$C$12</f>
        <v>903</v>
      </c>
      <c r="G36" t="s">
        <v>7</v>
      </c>
      <c r="H36" t="s">
        <v>71</v>
      </c>
      <c r="I36" t="s">
        <v>72</v>
      </c>
    </row>
    <row r="37" spans="1:10" x14ac:dyDescent="0.3">
      <c r="A37">
        <v>6</v>
      </c>
      <c r="B37">
        <v>1</v>
      </c>
      <c r="C37" t="s">
        <v>7</v>
      </c>
      <c r="D37" s="1">
        <v>0.14791666666666667</v>
      </c>
      <c r="E37" s="3">
        <v>10318</v>
      </c>
      <c r="F37" s="2">
        <f>'Scrims Day 2'!E37-'Game Start Times'!$C$13</f>
        <v>211</v>
      </c>
      <c r="G37" t="s">
        <v>5</v>
      </c>
    </row>
    <row r="38" spans="1:10" x14ac:dyDescent="0.3">
      <c r="A38">
        <v>6</v>
      </c>
      <c r="B38">
        <v>2</v>
      </c>
      <c r="C38" t="s">
        <v>7</v>
      </c>
      <c r="D38" s="1">
        <v>8.4027777777777771E-2</v>
      </c>
      <c r="E38" s="3">
        <v>10410</v>
      </c>
      <c r="F38" s="2">
        <f>'Scrims Day 2'!E38-'Game Start Times'!$C$13</f>
        <v>303</v>
      </c>
      <c r="G38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B11A-C63F-4050-BA31-B9AB05D5E6C8}">
  <dimension ref="A1:J31"/>
  <sheetViews>
    <sheetView tabSelected="1" topLeftCell="A10" workbookViewId="0">
      <selection activeCell="J30" sqref="J30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51" bestFit="1" customWidth="1"/>
    <col min="13" max="13" width="8.5546875" bestFit="1" customWidth="1"/>
  </cols>
  <sheetData>
    <row r="1" spans="1:10" x14ac:dyDescent="0.3">
      <c r="A1" t="s">
        <v>0</v>
      </c>
      <c r="B1" t="s">
        <v>1</v>
      </c>
      <c r="C1" t="s">
        <v>48</v>
      </c>
      <c r="D1" t="s">
        <v>2</v>
      </c>
      <c r="E1" s="2" t="s">
        <v>52</v>
      </c>
      <c r="F1" t="s">
        <v>47</v>
      </c>
      <c r="G1" t="s">
        <v>49</v>
      </c>
      <c r="H1" t="s">
        <v>3</v>
      </c>
      <c r="I1" t="s">
        <v>50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0.11041666666666666</v>
      </c>
      <c r="E2" s="3">
        <v>5374</v>
      </c>
      <c r="F2" s="2">
        <f>'Scrims Day 3'!E2-'Game Start Times'!$C$14</f>
        <v>445</v>
      </c>
      <c r="G2" t="s">
        <v>5</v>
      </c>
    </row>
    <row r="3" spans="1:10" x14ac:dyDescent="0.3">
      <c r="A3">
        <v>1</v>
      </c>
      <c r="B3">
        <v>2</v>
      </c>
      <c r="C3" t="s">
        <v>5</v>
      </c>
      <c r="D3" s="1">
        <v>2.4305555555555556E-2</v>
      </c>
      <c r="E3" s="3">
        <v>5503</v>
      </c>
      <c r="F3" s="2">
        <f>'Scrims Day 3'!E3-'Game Start Times'!$C$14</f>
        <v>574</v>
      </c>
      <c r="G3" t="s">
        <v>7</v>
      </c>
      <c r="H3" t="s">
        <v>40</v>
      </c>
      <c r="I3" t="s">
        <v>14</v>
      </c>
    </row>
    <row r="4" spans="1:10" x14ac:dyDescent="0.3">
      <c r="A4">
        <v>1</v>
      </c>
      <c r="B4">
        <v>2</v>
      </c>
      <c r="C4" t="s">
        <v>5</v>
      </c>
      <c r="D4" s="1">
        <v>2.4305555555555556E-2</v>
      </c>
      <c r="E4" s="3">
        <v>5503</v>
      </c>
      <c r="F4" s="2">
        <f>'Scrims Day 3'!E4-'Game Start Times'!$C$14</f>
        <v>574</v>
      </c>
      <c r="G4" t="s">
        <v>7</v>
      </c>
      <c r="H4" t="s">
        <v>13</v>
      </c>
      <c r="I4" t="s">
        <v>14</v>
      </c>
    </row>
    <row r="5" spans="1:10" x14ac:dyDescent="0.3">
      <c r="A5">
        <v>2</v>
      </c>
      <c r="B5">
        <v>2</v>
      </c>
      <c r="C5" t="s">
        <v>5</v>
      </c>
      <c r="D5" s="1">
        <v>6.25E-2</v>
      </c>
      <c r="E5" s="3">
        <v>7304</v>
      </c>
      <c r="F5" s="2">
        <f>'Scrims Day 3'!E5-'Game Start Times'!$C$15</f>
        <v>499</v>
      </c>
      <c r="G5" t="s">
        <v>5</v>
      </c>
      <c r="J5" t="s">
        <v>73</v>
      </c>
    </row>
    <row r="6" spans="1:10" x14ac:dyDescent="0.3">
      <c r="A6">
        <v>2</v>
      </c>
      <c r="B6">
        <v>2</v>
      </c>
      <c r="C6" t="s">
        <v>5</v>
      </c>
      <c r="D6" s="1">
        <v>2.9166666666666664E-2</v>
      </c>
      <c r="E6" s="3">
        <v>7350</v>
      </c>
      <c r="F6" s="2">
        <f>'Scrims Day 3'!E6-'Game Start Times'!$C$15</f>
        <v>545</v>
      </c>
      <c r="G6" t="s">
        <v>5</v>
      </c>
    </row>
    <row r="7" spans="1:10" x14ac:dyDescent="0.3">
      <c r="A7">
        <v>2</v>
      </c>
      <c r="B7">
        <v>3</v>
      </c>
      <c r="C7" t="s">
        <v>7</v>
      </c>
      <c r="D7" s="1">
        <v>1.1111111111111112E-2</v>
      </c>
      <c r="E7" s="3">
        <v>7638</v>
      </c>
      <c r="F7" s="2">
        <f>'Scrims Day 3'!E7-'Game Start Times'!$C$15</f>
        <v>833</v>
      </c>
      <c r="G7" t="s">
        <v>7</v>
      </c>
      <c r="H7" t="s">
        <v>31</v>
      </c>
      <c r="I7" t="s">
        <v>29</v>
      </c>
      <c r="J7" t="s">
        <v>74</v>
      </c>
    </row>
    <row r="8" spans="1:10" x14ac:dyDescent="0.3">
      <c r="A8">
        <v>5</v>
      </c>
      <c r="B8">
        <v>2</v>
      </c>
      <c r="C8" t="s">
        <v>7</v>
      </c>
      <c r="D8" s="1">
        <v>8.6111111111111124E-2</v>
      </c>
      <c r="E8" s="3">
        <v>12535</v>
      </c>
      <c r="F8" s="2">
        <f>'Scrims Day 3'!E8-'Game Start Times'!$C$16</f>
        <v>300</v>
      </c>
      <c r="G8" t="s">
        <v>5</v>
      </c>
    </row>
    <row r="9" spans="1:10" x14ac:dyDescent="0.3">
      <c r="A9">
        <v>5</v>
      </c>
      <c r="B9">
        <v>2</v>
      </c>
      <c r="C9" t="s">
        <v>7</v>
      </c>
      <c r="D9" s="1">
        <v>5.347222222222222E-2</v>
      </c>
      <c r="E9" s="3">
        <v>12581</v>
      </c>
      <c r="F9" s="2">
        <f>'Scrims Day 3'!E9-'Game Start Times'!$C$16</f>
        <v>346</v>
      </c>
      <c r="G9" t="s">
        <v>5</v>
      </c>
      <c r="J9" t="s">
        <v>75</v>
      </c>
    </row>
    <row r="10" spans="1:10" x14ac:dyDescent="0.3">
      <c r="A10">
        <v>6</v>
      </c>
      <c r="B10">
        <v>1</v>
      </c>
      <c r="C10" t="s">
        <v>7</v>
      </c>
      <c r="D10" s="1">
        <v>5.9722222222222225E-2</v>
      </c>
      <c r="E10" s="3">
        <v>14372</v>
      </c>
      <c r="F10" s="2">
        <f>'Scrims Day 3'!E10-'Game Start Times'!$C$17</f>
        <v>336</v>
      </c>
      <c r="G10" t="s">
        <v>5</v>
      </c>
      <c r="J10" t="s">
        <v>70</v>
      </c>
    </row>
    <row r="11" spans="1:10" x14ac:dyDescent="0.3">
      <c r="A11">
        <v>6</v>
      </c>
      <c r="B11">
        <v>2</v>
      </c>
      <c r="C11" t="s">
        <v>7</v>
      </c>
      <c r="D11" s="1">
        <v>1.8055555555555557E-2</v>
      </c>
      <c r="E11" s="3">
        <v>14674</v>
      </c>
      <c r="F11" s="2">
        <f>'Scrims Day 3'!E11-'Game Start Times'!$C$17</f>
        <v>638</v>
      </c>
      <c r="G11" t="s">
        <v>5</v>
      </c>
      <c r="J11" t="s">
        <v>6</v>
      </c>
    </row>
    <row r="12" spans="1:10" x14ac:dyDescent="0.3">
      <c r="A12">
        <v>6</v>
      </c>
      <c r="B12">
        <v>3</v>
      </c>
      <c r="C12" t="s">
        <v>5</v>
      </c>
      <c r="D12" s="1">
        <v>7.2222222222222229E-2</v>
      </c>
      <c r="E12" s="3">
        <v>14734</v>
      </c>
      <c r="F12" s="2">
        <f>'Scrims Day 3'!E12-'Game Start Times'!$C$17</f>
        <v>698</v>
      </c>
      <c r="G12" t="s">
        <v>7</v>
      </c>
      <c r="H12" t="s">
        <v>8</v>
      </c>
      <c r="I12" t="s">
        <v>9</v>
      </c>
      <c r="J12" t="s">
        <v>76</v>
      </c>
    </row>
    <row r="13" spans="1:10" x14ac:dyDescent="0.3">
      <c r="A13">
        <v>6</v>
      </c>
      <c r="B13">
        <v>3</v>
      </c>
      <c r="C13" t="s">
        <v>5</v>
      </c>
      <c r="D13" s="1">
        <v>7.2222222222222229E-2</v>
      </c>
      <c r="E13" s="3">
        <v>14734</v>
      </c>
      <c r="F13" s="2">
        <f>'Scrims Day 3'!E13-'Game Start Times'!$C$17</f>
        <v>698</v>
      </c>
      <c r="G13" t="s">
        <v>7</v>
      </c>
      <c r="H13" t="s">
        <v>40</v>
      </c>
      <c r="I13" t="s">
        <v>14</v>
      </c>
    </row>
    <row r="14" spans="1:10" x14ac:dyDescent="0.3">
      <c r="A14">
        <v>6</v>
      </c>
      <c r="B14">
        <v>3</v>
      </c>
      <c r="C14" t="s">
        <v>5</v>
      </c>
      <c r="D14" s="1">
        <v>7.2222222222222229E-2</v>
      </c>
      <c r="E14" s="3">
        <v>14734</v>
      </c>
      <c r="F14" s="2">
        <f>'Scrims Day 3'!E14-'Game Start Times'!$C$17</f>
        <v>698</v>
      </c>
      <c r="G14" t="s">
        <v>7</v>
      </c>
      <c r="H14" t="s">
        <v>77</v>
      </c>
      <c r="I14" t="s">
        <v>14</v>
      </c>
    </row>
    <row r="15" spans="1:10" x14ac:dyDescent="0.3">
      <c r="A15">
        <v>6</v>
      </c>
      <c r="B15">
        <v>3</v>
      </c>
      <c r="C15" t="s">
        <v>7</v>
      </c>
      <c r="D15" s="1">
        <v>1.5972222222222224E-2</v>
      </c>
      <c r="E15" s="3">
        <v>14864</v>
      </c>
      <c r="F15" s="2">
        <f>'Scrims Day 3'!E15-'Game Start Times'!$C$17</f>
        <v>828</v>
      </c>
      <c r="G15" t="s">
        <v>5</v>
      </c>
    </row>
    <row r="16" spans="1:10" x14ac:dyDescent="0.3">
      <c r="A16">
        <v>7</v>
      </c>
      <c r="B16">
        <v>2</v>
      </c>
      <c r="C16" t="s">
        <v>5</v>
      </c>
      <c r="D16" s="1">
        <v>2.7777777777777779E-3</v>
      </c>
      <c r="E16" s="3">
        <v>16185</v>
      </c>
      <c r="F16" s="2">
        <f>'Scrims Day 3'!E16-'Game Start Times'!$C$18</f>
        <v>588</v>
      </c>
      <c r="G16" t="s">
        <v>7</v>
      </c>
      <c r="H16" t="s">
        <v>78</v>
      </c>
      <c r="I16" t="s">
        <v>79</v>
      </c>
      <c r="J16" t="s">
        <v>80</v>
      </c>
    </row>
    <row r="17" spans="1:10" x14ac:dyDescent="0.3">
      <c r="A17">
        <v>7</v>
      </c>
      <c r="B17">
        <v>2</v>
      </c>
      <c r="C17" t="s">
        <v>5</v>
      </c>
      <c r="D17" s="1">
        <v>2.7777777777777779E-3</v>
      </c>
      <c r="E17" s="3">
        <v>16185</v>
      </c>
      <c r="F17" s="2">
        <f>'Scrims Day 3'!E17-'Game Start Times'!$C$18</f>
        <v>588</v>
      </c>
      <c r="G17" t="s">
        <v>7</v>
      </c>
      <c r="H17" t="s">
        <v>81</v>
      </c>
      <c r="I17" t="s">
        <v>79</v>
      </c>
    </row>
    <row r="18" spans="1:10" x14ac:dyDescent="0.3">
      <c r="A18">
        <v>7</v>
      </c>
      <c r="B18">
        <v>2</v>
      </c>
      <c r="C18" t="s">
        <v>5</v>
      </c>
      <c r="D18" s="1">
        <v>2.7777777777777779E-3</v>
      </c>
      <c r="E18" s="3">
        <v>16185</v>
      </c>
      <c r="F18" s="2">
        <f>'Scrims Day 3'!E18-'Game Start Times'!$C$18</f>
        <v>588</v>
      </c>
      <c r="G18" t="s">
        <v>7</v>
      </c>
      <c r="H18" t="s">
        <v>82</v>
      </c>
      <c r="I18" t="s">
        <v>79</v>
      </c>
    </row>
    <row r="19" spans="1:10" x14ac:dyDescent="0.3">
      <c r="A19">
        <v>7</v>
      </c>
      <c r="B19">
        <v>2</v>
      </c>
      <c r="C19" t="s">
        <v>7</v>
      </c>
      <c r="D19" s="1">
        <v>1.7361111111111112E-2</v>
      </c>
      <c r="E19" s="3">
        <v>16239</v>
      </c>
      <c r="F19" s="2">
        <f>'Scrims Day 3'!E19-'Game Start Times'!$C$18</f>
        <v>642</v>
      </c>
      <c r="G19" t="s">
        <v>5</v>
      </c>
    </row>
    <row r="20" spans="1:10" x14ac:dyDescent="0.3">
      <c r="A20">
        <v>7</v>
      </c>
      <c r="B20">
        <v>4</v>
      </c>
      <c r="C20" t="s">
        <v>5</v>
      </c>
      <c r="D20" s="1">
        <v>4.1666666666666664E-2</v>
      </c>
      <c r="E20" s="3">
        <v>16497</v>
      </c>
      <c r="F20" s="2">
        <f>'Scrims Day 3'!E20-'Game Start Times'!$C$18</f>
        <v>900</v>
      </c>
      <c r="G20" t="s">
        <v>7</v>
      </c>
      <c r="H20" t="s">
        <v>83</v>
      </c>
      <c r="I20" t="s">
        <v>45</v>
      </c>
      <c r="J20" t="s">
        <v>84</v>
      </c>
    </row>
    <row r="21" spans="1:10" x14ac:dyDescent="0.3">
      <c r="A21">
        <v>8</v>
      </c>
      <c r="B21">
        <v>2</v>
      </c>
      <c r="C21" t="s">
        <v>5</v>
      </c>
      <c r="D21" s="1">
        <v>5.2083333333333336E-2</v>
      </c>
      <c r="E21" s="3">
        <v>18541</v>
      </c>
      <c r="F21" s="2">
        <f>'Scrims Day 3'!E21-'Game Start Times'!$C$19</f>
        <v>512</v>
      </c>
      <c r="G21" t="s">
        <v>5</v>
      </c>
    </row>
    <row r="22" spans="1:10" x14ac:dyDescent="0.3">
      <c r="A22">
        <v>8</v>
      </c>
      <c r="B22">
        <v>2</v>
      </c>
      <c r="C22" t="s">
        <v>5</v>
      </c>
      <c r="D22" s="1">
        <v>2.5694444444444447E-2</v>
      </c>
      <c r="E22" s="3">
        <v>18577</v>
      </c>
      <c r="F22" s="2">
        <f>'Scrims Day 3'!E22-'Game Start Times'!$C$19</f>
        <v>548</v>
      </c>
      <c r="G22" t="s">
        <v>7</v>
      </c>
      <c r="H22" t="s">
        <v>85</v>
      </c>
      <c r="I22" t="s">
        <v>86</v>
      </c>
      <c r="J22" t="s">
        <v>87</v>
      </c>
    </row>
    <row r="23" spans="1:10" x14ac:dyDescent="0.3">
      <c r="A23">
        <v>8</v>
      </c>
      <c r="B23">
        <v>2</v>
      </c>
      <c r="C23" t="s">
        <v>5</v>
      </c>
      <c r="D23" s="1">
        <v>9.0277777777777787E-3</v>
      </c>
      <c r="E23" s="3">
        <v>18602</v>
      </c>
      <c r="F23" s="2">
        <f>'Scrims Day 3'!E23-'Game Start Times'!$C$19</f>
        <v>573</v>
      </c>
      <c r="G23" t="s">
        <v>5</v>
      </c>
    </row>
    <row r="24" spans="1:10" x14ac:dyDescent="0.3">
      <c r="A24">
        <v>8</v>
      </c>
      <c r="B24">
        <v>2</v>
      </c>
      <c r="C24" t="s">
        <v>7</v>
      </c>
      <c r="D24" s="1">
        <v>4.1666666666666664E-2</v>
      </c>
      <c r="E24" s="3">
        <v>18629</v>
      </c>
      <c r="F24" s="2">
        <f>'Scrims Day 3'!E24-'Game Start Times'!$C$19</f>
        <v>600</v>
      </c>
      <c r="G24" t="s">
        <v>5</v>
      </c>
    </row>
    <row r="25" spans="1:10" x14ac:dyDescent="0.3">
      <c r="A25">
        <v>8</v>
      </c>
      <c r="B25">
        <v>2</v>
      </c>
      <c r="C25" t="s">
        <v>7</v>
      </c>
      <c r="D25" s="1">
        <v>1.1805555555555555E-2</v>
      </c>
      <c r="E25" s="3">
        <v>18673</v>
      </c>
      <c r="F25" s="2">
        <f>'Scrims Day 3'!E25-'Game Start Times'!$C$19</f>
        <v>644</v>
      </c>
      <c r="G25" t="s">
        <v>7</v>
      </c>
      <c r="H25" t="s">
        <v>88</v>
      </c>
      <c r="I25" t="s">
        <v>86</v>
      </c>
      <c r="J25" t="s">
        <v>89</v>
      </c>
    </row>
    <row r="26" spans="1:10" x14ac:dyDescent="0.3">
      <c r="A26">
        <v>8</v>
      </c>
      <c r="B26">
        <v>3</v>
      </c>
      <c r="C26" t="s">
        <v>5</v>
      </c>
      <c r="D26" s="1">
        <v>8.5416666666666655E-2</v>
      </c>
      <c r="E26" s="3">
        <v>18707</v>
      </c>
      <c r="F26" s="2">
        <f>'Scrims Day 3'!E26-'Game Start Times'!$C$19</f>
        <v>678</v>
      </c>
      <c r="G26" t="s">
        <v>5</v>
      </c>
    </row>
    <row r="27" spans="1:10" x14ac:dyDescent="0.3">
      <c r="A27">
        <v>8</v>
      </c>
      <c r="B27">
        <v>3</v>
      </c>
      <c r="C27" t="s">
        <v>5</v>
      </c>
      <c r="D27" s="1">
        <v>5.0694444444444452E-2</v>
      </c>
      <c r="E27" s="3">
        <v>18754</v>
      </c>
      <c r="F27" s="2">
        <f>'Scrims Day 3'!E27-'Game Start Times'!$C$19</f>
        <v>725</v>
      </c>
      <c r="G27" t="s">
        <v>5</v>
      </c>
    </row>
    <row r="28" spans="1:10" x14ac:dyDescent="0.3">
      <c r="A28">
        <v>8</v>
      </c>
      <c r="B28">
        <v>3</v>
      </c>
      <c r="C28" t="s">
        <v>5</v>
      </c>
      <c r="D28" s="1">
        <v>2.7083333333333334E-2</v>
      </c>
      <c r="E28" s="3">
        <v>18789</v>
      </c>
      <c r="F28" s="2">
        <f>'Scrims Day 3'!E28-'Game Start Times'!$C$19</f>
        <v>760</v>
      </c>
      <c r="G28" t="s">
        <v>7</v>
      </c>
      <c r="H28" t="s">
        <v>85</v>
      </c>
      <c r="I28" t="s">
        <v>86</v>
      </c>
    </row>
    <row r="29" spans="1:10" x14ac:dyDescent="0.3">
      <c r="A29">
        <v>8</v>
      </c>
      <c r="B29">
        <v>3</v>
      </c>
      <c r="C29" t="s">
        <v>7</v>
      </c>
      <c r="D29" s="1">
        <v>2.7777777777777776E-2</v>
      </c>
      <c r="E29" s="3">
        <v>18835</v>
      </c>
      <c r="F29" s="2">
        <f>'Scrims Day 3'!E29-'Game Start Times'!$C$19</f>
        <v>806</v>
      </c>
      <c r="G29" t="s">
        <v>7</v>
      </c>
      <c r="H29" t="s">
        <v>90</v>
      </c>
      <c r="I29" t="s">
        <v>86</v>
      </c>
    </row>
    <row r="30" spans="1:10" x14ac:dyDescent="0.3">
      <c r="A30">
        <v>8</v>
      </c>
      <c r="B30">
        <v>3</v>
      </c>
      <c r="C30" t="s">
        <v>7</v>
      </c>
      <c r="D30" s="1">
        <v>2.7777777777777776E-2</v>
      </c>
      <c r="E30" s="3">
        <v>18835</v>
      </c>
      <c r="F30" s="2">
        <f>'Scrims Day 3'!E30-'Game Start Times'!$C$19</f>
        <v>806</v>
      </c>
      <c r="G30" t="s">
        <v>7</v>
      </c>
      <c r="H30" t="s">
        <v>85</v>
      </c>
      <c r="I30" t="s">
        <v>86</v>
      </c>
    </row>
    <row r="31" spans="1:10" x14ac:dyDescent="0.3">
      <c r="A31">
        <v>8</v>
      </c>
      <c r="B31">
        <v>3</v>
      </c>
      <c r="C31" t="s">
        <v>7</v>
      </c>
      <c r="D31" s="1">
        <v>6.9444444444444441E-3</v>
      </c>
      <c r="E31" s="3">
        <v>18865</v>
      </c>
      <c r="F31" s="2">
        <f>'Scrims Day 3'!E31-'Game Start Times'!$C$19</f>
        <v>836</v>
      </c>
      <c r="G31" t="s">
        <v>5</v>
      </c>
      <c r="J31" t="s">
        <v>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C170-142D-497A-A9EA-DE3D48B42638}">
  <dimension ref="A1:J15"/>
  <sheetViews>
    <sheetView workbookViewId="0">
      <selection activeCell="F6" sqref="F6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3.88671875" bestFit="1" customWidth="1"/>
    <col min="9" max="9" width="23.109375" bestFit="1" customWidth="1"/>
    <col min="10" max="10" width="36.44140625" bestFit="1" customWidth="1"/>
  </cols>
  <sheetData>
    <row r="1" spans="1:10" x14ac:dyDescent="0.3">
      <c r="A1" t="s">
        <v>0</v>
      </c>
      <c r="B1" t="s">
        <v>1</v>
      </c>
      <c r="C1" t="s">
        <v>48</v>
      </c>
      <c r="D1" t="s">
        <v>2</v>
      </c>
      <c r="E1" s="2" t="s">
        <v>52</v>
      </c>
      <c r="F1" t="s">
        <v>47</v>
      </c>
      <c r="G1" t="s">
        <v>49</v>
      </c>
      <c r="H1" t="s">
        <v>3</v>
      </c>
      <c r="I1" t="s">
        <v>50</v>
      </c>
      <c r="J1" t="s">
        <v>4</v>
      </c>
    </row>
    <row r="2" spans="1:10" x14ac:dyDescent="0.3">
      <c r="A2">
        <v>6</v>
      </c>
      <c r="B2">
        <v>2</v>
      </c>
      <c r="C2" t="s">
        <v>5</v>
      </c>
      <c r="D2" s="1">
        <v>6.458333333333334E-2</v>
      </c>
      <c r="E2" s="3">
        <v>13259</v>
      </c>
      <c r="G2" t="s">
        <v>5</v>
      </c>
      <c r="J2" t="s">
        <v>92</v>
      </c>
    </row>
    <row r="3" spans="1:10" x14ac:dyDescent="0.3">
      <c r="A3">
        <v>6</v>
      </c>
      <c r="B3">
        <v>2</v>
      </c>
      <c r="C3" t="s">
        <v>7</v>
      </c>
      <c r="D3" s="1">
        <v>4.5138888888888888E-2</v>
      </c>
      <c r="E3" s="3">
        <v>13363</v>
      </c>
      <c r="G3" t="s">
        <v>5</v>
      </c>
      <c r="J3" t="s">
        <v>93</v>
      </c>
    </row>
    <row r="4" spans="1:10" x14ac:dyDescent="0.3">
      <c r="A4">
        <v>6</v>
      </c>
      <c r="B4">
        <v>3</v>
      </c>
      <c r="C4" t="s">
        <v>5</v>
      </c>
      <c r="D4" s="1">
        <v>5.6250000000000001E-2</v>
      </c>
      <c r="E4" s="3">
        <v>13487</v>
      </c>
      <c r="G4" t="s">
        <v>7</v>
      </c>
      <c r="H4" t="s">
        <v>42</v>
      </c>
      <c r="I4" t="s">
        <v>39</v>
      </c>
      <c r="J4" t="s">
        <v>94</v>
      </c>
    </row>
    <row r="5" spans="1:10" x14ac:dyDescent="0.3">
      <c r="A5">
        <v>6</v>
      </c>
      <c r="B5">
        <v>4</v>
      </c>
      <c r="C5" t="s">
        <v>7</v>
      </c>
      <c r="D5" s="1">
        <v>1.8055555555555557E-2</v>
      </c>
      <c r="E5" s="3">
        <v>13740</v>
      </c>
      <c r="G5" t="s">
        <v>5</v>
      </c>
      <c r="J5" t="s">
        <v>95</v>
      </c>
    </row>
    <row r="6" spans="1:10" x14ac:dyDescent="0.3">
      <c r="A6">
        <v>6</v>
      </c>
      <c r="B6">
        <v>4</v>
      </c>
      <c r="C6" t="s">
        <v>7</v>
      </c>
      <c r="D6" s="1">
        <v>2.0833333333333333E-3</v>
      </c>
      <c r="E6" s="3">
        <v>13765</v>
      </c>
      <c r="G6" t="s">
        <v>5</v>
      </c>
      <c r="J6" t="s">
        <v>96</v>
      </c>
    </row>
    <row r="7" spans="1:10" x14ac:dyDescent="0.3">
      <c r="A7">
        <v>6</v>
      </c>
      <c r="B7">
        <v>5</v>
      </c>
      <c r="C7" t="s">
        <v>5</v>
      </c>
      <c r="D7" s="1">
        <v>3.1944444444444449E-2</v>
      </c>
      <c r="E7" s="3">
        <v>13765</v>
      </c>
      <c r="G7" t="s">
        <v>7</v>
      </c>
      <c r="H7" t="s">
        <v>24</v>
      </c>
      <c r="I7" t="s">
        <v>20</v>
      </c>
      <c r="J7" t="s">
        <v>97</v>
      </c>
    </row>
    <row r="8" spans="1:10" x14ac:dyDescent="0.3">
      <c r="A8">
        <v>6</v>
      </c>
      <c r="B8">
        <v>5</v>
      </c>
      <c r="C8" t="s">
        <v>5</v>
      </c>
      <c r="D8" s="1">
        <v>1.5277777777777777E-2</v>
      </c>
      <c r="E8" s="3">
        <v>13838</v>
      </c>
      <c r="G8" t="s">
        <v>5</v>
      </c>
    </row>
    <row r="9" spans="1:10" x14ac:dyDescent="0.3">
      <c r="A9">
        <v>6</v>
      </c>
      <c r="B9">
        <v>5</v>
      </c>
      <c r="C9" t="s">
        <v>7</v>
      </c>
      <c r="D9" s="1">
        <v>1.1111111111111112E-2</v>
      </c>
      <c r="E9" s="3">
        <v>13890</v>
      </c>
      <c r="G9" t="s">
        <v>5</v>
      </c>
    </row>
    <row r="10" spans="1:10" x14ac:dyDescent="0.3">
      <c r="A10">
        <v>6</v>
      </c>
      <c r="B10">
        <v>6</v>
      </c>
      <c r="C10" t="s">
        <v>5</v>
      </c>
      <c r="D10" s="1">
        <v>3.6111111111111115E-2</v>
      </c>
      <c r="E10" s="3">
        <v>13916</v>
      </c>
      <c r="G10" t="s">
        <v>5</v>
      </c>
    </row>
    <row r="11" spans="1:10" x14ac:dyDescent="0.3">
      <c r="A11">
        <v>6</v>
      </c>
      <c r="B11">
        <v>6</v>
      </c>
      <c r="C11" t="s">
        <v>5</v>
      </c>
      <c r="D11" s="1">
        <v>1.8055555555555557E-2</v>
      </c>
      <c r="E11" s="3">
        <v>13943</v>
      </c>
      <c r="G11" t="s">
        <v>5</v>
      </c>
      <c r="J11" t="s">
        <v>98</v>
      </c>
    </row>
    <row r="12" spans="1:10" x14ac:dyDescent="0.3">
      <c r="A12">
        <v>6</v>
      </c>
      <c r="B12">
        <v>6</v>
      </c>
      <c r="C12" t="s">
        <v>5</v>
      </c>
      <c r="D12" s="1">
        <v>2.7777777777777779E-3</v>
      </c>
      <c r="E12" s="3">
        <v>13943</v>
      </c>
      <c r="G12" t="s">
        <v>7</v>
      </c>
      <c r="H12" t="s">
        <v>78</v>
      </c>
      <c r="I12" t="s">
        <v>79</v>
      </c>
      <c r="J12" t="s">
        <v>99</v>
      </c>
    </row>
    <row r="13" spans="1:10" x14ac:dyDescent="0.3">
      <c r="A13">
        <v>6</v>
      </c>
      <c r="B13">
        <v>6</v>
      </c>
      <c r="C13" t="s">
        <v>5</v>
      </c>
      <c r="D13" s="1">
        <v>2.7777777777777779E-3</v>
      </c>
      <c r="E13" s="3">
        <v>13943</v>
      </c>
      <c r="G13" t="s">
        <v>7</v>
      </c>
      <c r="H13" t="s">
        <v>81</v>
      </c>
      <c r="I13" t="s">
        <v>79</v>
      </c>
    </row>
    <row r="14" spans="1:10" x14ac:dyDescent="0.3">
      <c r="A14">
        <v>6</v>
      </c>
      <c r="B14">
        <v>6</v>
      </c>
      <c r="C14" t="s">
        <v>5</v>
      </c>
      <c r="D14" s="1">
        <v>2.7777777777777779E-3</v>
      </c>
      <c r="E14" s="3">
        <v>13943</v>
      </c>
      <c r="G14" t="s">
        <v>7</v>
      </c>
      <c r="H14" t="s">
        <v>82</v>
      </c>
      <c r="I14" t="s">
        <v>79</v>
      </c>
    </row>
    <row r="15" spans="1:10" x14ac:dyDescent="0.3">
      <c r="A15">
        <v>6</v>
      </c>
      <c r="B15">
        <v>6</v>
      </c>
      <c r="C15" t="s">
        <v>7</v>
      </c>
      <c r="D15" s="1">
        <v>6.5277777777777782E-2</v>
      </c>
      <c r="E15" s="3">
        <v>14001</v>
      </c>
      <c r="G15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4668-8907-49D5-9B63-C4BFEC4D602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585B-E1E2-4357-AE2B-90A9776BE5F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6164-120E-4405-B3DE-BC30BD504AF5}">
  <sheetPr codeName="Sheet4"/>
  <dimension ref="A1:C31"/>
  <sheetViews>
    <sheetView workbookViewId="0">
      <selection activeCell="I13" sqref="I13"/>
    </sheetView>
  </sheetViews>
  <sheetFormatPr defaultRowHeight="14.4" x14ac:dyDescent="0.3"/>
  <cols>
    <col min="2" max="2" width="59.44140625" bestFit="1" customWidth="1"/>
    <col min="3" max="3" width="14.109375" customWidth="1"/>
  </cols>
  <sheetData>
    <row r="1" spans="1:3" ht="15.6" thickTop="1" thickBot="1" x14ac:dyDescent="0.35">
      <c r="A1" s="8"/>
      <c r="B1" t="e" cm="1">
        <f t="array" ref="B1">URL(A1)</f>
        <v>#VALUE!</v>
      </c>
      <c r="C1" t="e" cm="1">
        <f t="array" aca="1" ref="C1" ca="1">RIGHT(B1, LEN(B1) - MAX(IF(ISNUMBER(MID(B1, ROW(INDIRECT("1:"&amp;LEN(B1))), 1) *1)=FALSE, ROW(INDIRECT("1:"&amp;LEN(B1))), 0)))</f>
        <v>#VALUE!</v>
      </c>
    </row>
    <row r="2" spans="1:3" ht="15" thickBot="1" x14ac:dyDescent="0.35">
      <c r="A2" s="4"/>
      <c r="B2" t="e" cm="1">
        <f t="array" ref="B2">URL(A2)</f>
        <v>#VALUE!</v>
      </c>
      <c r="C2" t="e" cm="1">
        <f t="array" aca="1" ref="C2" ca="1">RIGHT(B2, LEN(B2) - MAX(IF(ISNUMBER(MID(B2, ROW(INDIRECT("1:"&amp;LEN(B2))), 1) *1)=FALSE, ROW(INDIRECT("1:"&amp;LEN(B2))), 0)))</f>
        <v>#VALUE!</v>
      </c>
    </row>
    <row r="3" spans="1:3" ht="15" thickBot="1" x14ac:dyDescent="0.35">
      <c r="A3" s="5"/>
      <c r="B3" t="e" cm="1">
        <f t="array" ref="B3">URL(A3)</f>
        <v>#VALUE!</v>
      </c>
      <c r="C3" t="e" cm="1">
        <f t="array" aca="1" ref="C3" ca="1">RIGHT(B3, LEN(B3) - MAX(IF(ISNUMBER(MID(B3, ROW(INDIRECT("1:"&amp;LEN(B3))), 1) *1)=FALSE, ROW(INDIRECT("1:"&amp;LEN(B3))), 0)))</f>
        <v>#VALUE!</v>
      </c>
    </row>
    <row r="4" spans="1:3" ht="15" thickBot="1" x14ac:dyDescent="0.35">
      <c r="A4" s="4"/>
      <c r="B4" t="e" cm="1">
        <f t="array" ref="B4">URL(A4)</f>
        <v>#VALUE!</v>
      </c>
      <c r="C4" t="e" cm="1">
        <f t="array" aca="1" ref="C4" ca="1">RIGHT(B4, LEN(B4) - MAX(IF(ISNUMBER(MID(B4, ROW(INDIRECT("1:"&amp;LEN(B4))), 1) *1)=FALSE, ROW(INDIRECT("1:"&amp;LEN(B4))), 0)))</f>
        <v>#VALUE!</v>
      </c>
    </row>
    <row r="5" spans="1:3" ht="15" thickBot="1" x14ac:dyDescent="0.35">
      <c r="A5" s="4"/>
      <c r="B5" t="e" cm="1">
        <f t="array" ref="B5">URL(A5)</f>
        <v>#VALUE!</v>
      </c>
      <c r="C5" t="e" cm="1">
        <f t="array" aca="1" ref="C5" ca="1">RIGHT(B5, LEN(B5) - MAX(IF(ISNUMBER(MID(B5, ROW(INDIRECT("1:"&amp;LEN(B5))), 1) *1)=FALSE, ROW(INDIRECT("1:"&amp;LEN(B5))), 0)))</f>
        <v>#VALUE!</v>
      </c>
    </row>
    <row r="6" spans="1:3" ht="15" thickBot="1" x14ac:dyDescent="0.35">
      <c r="A6" s="5"/>
      <c r="B6" t="e" cm="1">
        <f t="array" ref="B6">URL(A6)</f>
        <v>#VALUE!</v>
      </c>
      <c r="C6" t="e" cm="1">
        <f t="array" aca="1" ref="C6" ca="1">RIGHT(B6, LEN(B6) - MAX(IF(ISNUMBER(MID(B6, ROW(INDIRECT("1:"&amp;LEN(B6))), 1) *1)=FALSE, ROW(INDIRECT("1:"&amp;LEN(B6))), 0)))</f>
        <v>#VALUE!</v>
      </c>
    </row>
    <row r="7" spans="1:3" ht="15" thickBot="1" x14ac:dyDescent="0.35">
      <c r="A7" s="4"/>
      <c r="B7" t="e" cm="1">
        <f t="array" ref="B7">URL(A7)</f>
        <v>#VALUE!</v>
      </c>
      <c r="C7" t="e" cm="1">
        <f t="array" aca="1" ref="C7" ca="1">RIGHT(B7, LEN(B7) - MAX(IF(ISNUMBER(MID(B7, ROW(INDIRECT("1:"&amp;LEN(B7))), 1) *1)=FALSE, ROW(INDIRECT("1:"&amp;LEN(B7))), 0)))</f>
        <v>#VALUE!</v>
      </c>
    </row>
    <row r="8" spans="1:3" ht="15" thickBot="1" x14ac:dyDescent="0.35">
      <c r="A8" s="4"/>
      <c r="B8" t="e" cm="1">
        <f t="array" ref="B8">URL(A8)</f>
        <v>#VALUE!</v>
      </c>
      <c r="C8" t="e" cm="1">
        <f t="array" aca="1" ref="C8" ca="1">RIGHT(B8, LEN(B8) - MAX(IF(ISNUMBER(MID(B8, ROW(INDIRECT("1:"&amp;LEN(B8))), 1) *1)=FALSE, ROW(INDIRECT("1:"&amp;LEN(B8))), 0)))</f>
        <v>#VALUE!</v>
      </c>
    </row>
    <row r="9" spans="1:3" ht="15" thickBot="1" x14ac:dyDescent="0.35">
      <c r="A9" s="4"/>
      <c r="B9" t="e" cm="1">
        <f t="array" ref="B9">URL(A9)</f>
        <v>#VALUE!</v>
      </c>
      <c r="C9" t="e" cm="1">
        <f t="array" aca="1" ref="C9" ca="1">RIGHT(B9, LEN(B9) - MAX(IF(ISNUMBER(MID(B9, ROW(INDIRECT("1:"&amp;LEN(B9))), 1) *1)=FALSE, ROW(INDIRECT("1:"&amp;LEN(B9))), 0)))</f>
        <v>#VALUE!</v>
      </c>
    </row>
    <row r="10" spans="1:3" ht="15" thickBot="1" x14ac:dyDescent="0.35">
      <c r="A10" s="4"/>
      <c r="B10" t="e" cm="1">
        <f t="array" ref="B10">URL(A10)</f>
        <v>#VALUE!</v>
      </c>
      <c r="C10" t="e" cm="1">
        <f t="array" aca="1" ref="C10" ca="1">RIGHT(B10, LEN(B10) - MAX(IF(ISNUMBER(MID(B10, ROW(INDIRECT("1:"&amp;LEN(B10))), 1) *1)=FALSE, ROW(INDIRECT("1:"&amp;LEN(B10))), 0)))</f>
        <v>#VALUE!</v>
      </c>
    </row>
    <row r="11" spans="1:3" ht="15" thickBot="1" x14ac:dyDescent="0.35">
      <c r="A11" s="5"/>
      <c r="B11" t="e" cm="1">
        <f t="array" ref="B11">URL(A11)</f>
        <v>#VALUE!</v>
      </c>
      <c r="C11" t="e" cm="1">
        <f t="array" aca="1" ref="C11" ca="1">RIGHT(B11, LEN(B11) - MAX(IF(ISNUMBER(MID(B11, ROW(INDIRECT("1:"&amp;LEN(B11))), 1) *1)=FALSE, ROW(INDIRECT("1:"&amp;LEN(B11))), 0)))</f>
        <v>#VALUE!</v>
      </c>
    </row>
    <row r="12" spans="1:3" ht="15" thickBot="1" x14ac:dyDescent="0.35">
      <c r="A12" s="5"/>
      <c r="B12" t="e" cm="1">
        <f t="array" ref="B12">URL(A12)</f>
        <v>#VALUE!</v>
      </c>
      <c r="C12" t="e" cm="1">
        <f t="array" aca="1" ref="C12" ca="1">RIGHT(B12, LEN(B12) - MAX(IF(ISNUMBER(MID(B12, ROW(INDIRECT("1:"&amp;LEN(B12))), 1) *1)=FALSE, ROW(INDIRECT("1:"&amp;LEN(B12))), 0)))</f>
        <v>#VALUE!</v>
      </c>
    </row>
    <row r="13" spans="1:3" ht="15" thickBot="1" x14ac:dyDescent="0.35">
      <c r="A13" s="5"/>
      <c r="B13" t="e" cm="1">
        <f t="array" ref="B13">URL(A13)</f>
        <v>#VALUE!</v>
      </c>
      <c r="C13" t="e" cm="1">
        <f t="array" aca="1" ref="C13" ca="1">RIGHT(B13, LEN(B13) - MAX(IF(ISNUMBER(MID(B13, ROW(INDIRECT("1:"&amp;LEN(B13))), 1) *1)=FALSE, ROW(INDIRECT("1:"&amp;LEN(B13))), 0)))</f>
        <v>#VALUE!</v>
      </c>
    </row>
    <row r="14" spans="1:3" ht="15" thickBot="1" x14ac:dyDescent="0.35">
      <c r="A14" s="6"/>
      <c r="B14" t="e" cm="1">
        <f t="array" ref="B14">URL(A14)</f>
        <v>#VALUE!</v>
      </c>
      <c r="C14" t="e" cm="1">
        <f t="array" aca="1" ref="C14" ca="1">RIGHT(B14, LEN(B14) - MAX(IF(ISNUMBER(MID(B14, ROW(INDIRECT("1:"&amp;LEN(B14))), 1) *1)=FALSE, ROW(INDIRECT("1:"&amp;LEN(B14))), 0)))</f>
        <v>#VALUE!</v>
      </c>
    </row>
    <row r="15" spans="1:3" ht="15.6" thickTop="1" thickBot="1" x14ac:dyDescent="0.35">
      <c r="A15" s="5"/>
      <c r="B15" t="e" cm="1">
        <f t="array" ref="B15">URL(A15)</f>
        <v>#VALUE!</v>
      </c>
      <c r="C15" t="e" cm="1">
        <f t="array" aca="1" ref="C15" ca="1">RIGHT(B15, LEN(B15) - MAX(IF(ISNUMBER(MID(B15, ROW(INDIRECT("1:"&amp;LEN(B15))), 1) *1)=FALSE, ROW(INDIRECT("1:"&amp;LEN(B15))), 0)))</f>
        <v>#VALUE!</v>
      </c>
    </row>
    <row r="16" spans="1:3" ht="15" thickBot="1" x14ac:dyDescent="0.35">
      <c r="A16" s="5"/>
      <c r="B16" t="e" cm="1">
        <f t="array" ref="B16">URL(A16)</f>
        <v>#VALUE!</v>
      </c>
      <c r="C16" t="e" cm="1">
        <f t="array" aca="1" ref="C16" ca="1">RIGHT(B16, LEN(B16) - MAX(IF(ISNUMBER(MID(B16, ROW(INDIRECT("1:"&amp;LEN(B16))), 1) *1)=FALSE, ROW(INDIRECT("1:"&amp;LEN(B16))), 0)))</f>
        <v>#VALUE!</v>
      </c>
    </row>
    <row r="17" spans="1:3" ht="15" thickBot="1" x14ac:dyDescent="0.35">
      <c r="A17" s="5"/>
      <c r="B17" t="e" cm="1">
        <f t="array" ref="B17">URL(A17)</f>
        <v>#VALUE!</v>
      </c>
      <c r="C17" t="e" cm="1">
        <f t="array" aca="1" ref="C17" ca="1">RIGHT(B17, LEN(B17) - MAX(IF(ISNUMBER(MID(B17, ROW(INDIRECT("1:"&amp;LEN(B17))), 1) *1)=FALSE, ROW(INDIRECT("1:"&amp;LEN(B17))), 0)))</f>
        <v>#VALUE!</v>
      </c>
    </row>
    <row r="18" spans="1:3" ht="15" thickBot="1" x14ac:dyDescent="0.35">
      <c r="A18" s="4"/>
      <c r="B18" t="e" cm="1">
        <f t="array" ref="B18">URL(A18)</f>
        <v>#VALUE!</v>
      </c>
      <c r="C18" t="e" cm="1">
        <f t="array" aca="1" ref="C18" ca="1">RIGHT(B18, LEN(B18) - MAX(IF(ISNUMBER(MID(B18, ROW(INDIRECT("1:"&amp;LEN(B18))), 1) *1)=FALSE, ROW(INDIRECT("1:"&amp;LEN(B18))), 0)))</f>
        <v>#VALUE!</v>
      </c>
    </row>
    <row r="19" spans="1:3" ht="15" thickBot="1" x14ac:dyDescent="0.35">
      <c r="A19" s="7"/>
      <c r="B19" t="e" cm="1">
        <f t="array" ref="B19">URL(A19)</f>
        <v>#VALUE!</v>
      </c>
      <c r="C19" t="e" cm="1">
        <f t="array" aca="1" ref="C19" ca="1">RIGHT(B19, LEN(B19) - MAX(IF(ISNUMBER(MID(B19, ROW(INDIRECT("1:"&amp;LEN(B19))), 1) *1)=FALSE, ROW(INDIRECT("1:"&amp;LEN(B19))), 0)))</f>
        <v>#VALUE!</v>
      </c>
    </row>
    <row r="20" spans="1:3" ht="15.6" thickTop="1" thickBot="1" x14ac:dyDescent="0.35">
      <c r="A20" s="4"/>
      <c r="B20" t="e" cm="1">
        <f t="array" ref="B20">URL(A20)</f>
        <v>#VALUE!</v>
      </c>
      <c r="C20" t="e" cm="1">
        <f t="array" aca="1" ref="C20" ca="1">RIGHT(B20, LEN(B20) - MAX(IF(ISNUMBER(MID(B20, ROW(INDIRECT("1:"&amp;LEN(B20))), 1) *1)=FALSE, ROW(INDIRECT("1:"&amp;LEN(B20))), 0)))</f>
        <v>#VALUE!</v>
      </c>
    </row>
    <row r="21" spans="1:3" ht="15" thickBot="1" x14ac:dyDescent="0.35">
      <c r="A21" s="5"/>
      <c r="B21" t="e" cm="1">
        <f t="array" ref="B21">URL(A21)</f>
        <v>#VALUE!</v>
      </c>
      <c r="C21" t="e" cm="1">
        <f t="array" aca="1" ref="C21" ca="1">RIGHT(B21, LEN(B21) - MAX(IF(ISNUMBER(MID(B21, ROW(INDIRECT("1:"&amp;LEN(B21))), 1) *1)=FALSE, ROW(INDIRECT("1:"&amp;LEN(B21))), 0)))</f>
        <v>#VALUE!</v>
      </c>
    </row>
    <row r="22" spans="1:3" ht="15" thickBot="1" x14ac:dyDescent="0.35">
      <c r="A22" s="4"/>
      <c r="B22" t="e" cm="1">
        <f t="array" ref="B22">URL(A22)</f>
        <v>#VALUE!</v>
      </c>
      <c r="C22" t="e" cm="1">
        <f t="array" aca="1" ref="C22" ca="1">RIGHT(B22, LEN(B22) - MAX(IF(ISNUMBER(MID(B22, ROW(INDIRECT("1:"&amp;LEN(B22))), 1) *1)=FALSE, ROW(INDIRECT("1:"&amp;LEN(B22))), 0)))</f>
        <v>#VALUE!</v>
      </c>
    </row>
    <row r="23" spans="1:3" ht="15" thickBot="1" x14ac:dyDescent="0.35">
      <c r="A23" s="4"/>
      <c r="B23" t="e" cm="1">
        <f t="array" ref="B23">URL(A23)</f>
        <v>#VALUE!</v>
      </c>
      <c r="C23" t="e" cm="1">
        <f t="array" aca="1" ref="C23" ca="1">RIGHT(B23, LEN(B23) - MAX(IF(ISNUMBER(MID(B23, ROW(INDIRECT("1:"&amp;LEN(B23))), 1) *1)=FALSE, ROW(INDIRECT("1:"&amp;LEN(B23))), 0)))</f>
        <v>#VALUE!</v>
      </c>
    </row>
    <row r="24" spans="1:3" ht="15" thickBot="1" x14ac:dyDescent="0.35">
      <c r="A24" s="5"/>
      <c r="B24" t="e" cm="1">
        <f t="array" ref="B24">URL(A24)</f>
        <v>#VALUE!</v>
      </c>
      <c r="C24" t="e" cm="1">
        <f t="array" aca="1" ref="C24" ca="1">RIGHT(B24, LEN(B24) - MAX(IF(ISNUMBER(MID(B24, ROW(INDIRECT("1:"&amp;LEN(B24))), 1) *1)=FALSE, ROW(INDIRECT("1:"&amp;LEN(B24))), 0)))</f>
        <v>#VALUE!</v>
      </c>
    </row>
    <row r="25" spans="1:3" ht="15" thickBot="1" x14ac:dyDescent="0.35">
      <c r="A25" s="4"/>
      <c r="B25" t="e" cm="1">
        <f t="array" ref="B25">URL(A25)</f>
        <v>#VALUE!</v>
      </c>
      <c r="C25" t="e" cm="1">
        <f t="array" aca="1" ref="C25" ca="1">RIGHT(B25, LEN(B25) - MAX(IF(ISNUMBER(MID(B25, ROW(INDIRECT("1:"&amp;LEN(B25))), 1) *1)=FALSE, ROW(INDIRECT("1:"&amp;LEN(B25))), 0)))</f>
        <v>#VALUE!</v>
      </c>
    </row>
    <row r="26" spans="1:3" ht="15" thickBot="1" x14ac:dyDescent="0.35">
      <c r="A26" s="4"/>
      <c r="B26" t="e" cm="1">
        <f t="array" ref="B26">URL(A26)</f>
        <v>#VALUE!</v>
      </c>
      <c r="C26" t="e" cm="1">
        <f t="array" aca="1" ref="C26" ca="1">RIGHT(B26, LEN(B26) - MAX(IF(ISNUMBER(MID(B26, ROW(INDIRECT("1:"&amp;LEN(B26))), 1) *1)=FALSE, ROW(INDIRECT("1:"&amp;LEN(B26))), 0)))</f>
        <v>#VALUE!</v>
      </c>
    </row>
    <row r="27" spans="1:3" ht="15" thickBot="1" x14ac:dyDescent="0.35">
      <c r="A27" s="5"/>
      <c r="B27" t="e" cm="1">
        <f t="array" ref="B27">URL(A27)</f>
        <v>#VALUE!</v>
      </c>
      <c r="C27" t="e" cm="1">
        <f t="array" aca="1" ref="C27" ca="1">RIGHT(B27, LEN(B27) - MAX(IF(ISNUMBER(MID(B27, ROW(INDIRECT("1:"&amp;LEN(B27))), 1) *1)=FALSE, ROW(INDIRECT("1:"&amp;LEN(B27))), 0)))</f>
        <v>#VALUE!</v>
      </c>
    </row>
    <row r="28" spans="1:3" ht="15" thickBot="1" x14ac:dyDescent="0.35">
      <c r="A28" s="5"/>
      <c r="B28" t="e" cm="1">
        <f t="array" ref="B28">URL(A28)</f>
        <v>#VALUE!</v>
      </c>
      <c r="C28" t="e" cm="1">
        <f t="array" aca="1" ref="C28" ca="1">RIGHT(B28, LEN(B28) - MAX(IF(ISNUMBER(MID(B28, ROW(INDIRECT("1:"&amp;LEN(B28))), 1) *1)=FALSE, ROW(INDIRECT("1:"&amp;LEN(B28))), 0)))</f>
        <v>#VALUE!</v>
      </c>
    </row>
    <row r="29" spans="1:3" ht="15" thickBot="1" x14ac:dyDescent="0.35">
      <c r="A29" s="5"/>
      <c r="B29" t="e" cm="1">
        <f t="array" ref="B29">URL(A29)</f>
        <v>#VALUE!</v>
      </c>
      <c r="C29" t="e" cm="1">
        <f t="array" aca="1" ref="C29" ca="1">RIGHT(B29, LEN(B29) - MAX(IF(ISNUMBER(MID(B29, ROW(INDIRECT("1:"&amp;LEN(B29))), 1) *1)=FALSE, ROW(INDIRECT("1:"&amp;LEN(B29))), 0)))</f>
        <v>#VALUE!</v>
      </c>
    </row>
    <row r="30" spans="1:3" ht="15" thickBot="1" x14ac:dyDescent="0.35">
      <c r="A30" s="6"/>
      <c r="B30" t="e" cm="1">
        <f t="array" ref="B30">URL(A30)</f>
        <v>#VALUE!</v>
      </c>
      <c r="C30" t="e" cm="1">
        <f t="array" aca="1" ref="C30" ca="1">RIGHT(B30, LEN(B30) - MAX(IF(ISNUMBER(MID(B30, ROW(INDIRECT("1:"&amp;LEN(B30))), 1) *1)=FALSE, ROW(INDIRECT("1:"&amp;LEN(B30))), 0)))</f>
        <v>#VALUE!</v>
      </c>
    </row>
    <row r="31" spans="1:3" ht="15" thickTop="1" x14ac:dyDescent="0.3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Game Start Times</vt:lpstr>
      <vt:lpstr>Scrims Day 1</vt:lpstr>
      <vt:lpstr>Scrims Day 2</vt:lpstr>
      <vt:lpstr>Scrims Day 3</vt:lpstr>
      <vt:lpstr>Scrims Day 4</vt:lpstr>
      <vt:lpstr>Scrims Day 5</vt:lpstr>
      <vt:lpstr>Scrims Day 6</vt:lpstr>
      <vt:lpstr>Timestamp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 khang jer</dc:creator>
  <cp:lastModifiedBy>pang khang jer</cp:lastModifiedBy>
  <dcterms:created xsi:type="dcterms:W3CDTF">2015-06-05T18:17:20Z</dcterms:created>
  <dcterms:modified xsi:type="dcterms:W3CDTF">2023-04-13T19:50:28Z</dcterms:modified>
</cp:coreProperties>
</file>